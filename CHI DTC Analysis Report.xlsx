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3D Impact Marketing\Downloads\"/>
    </mc:Choice>
  </mc:AlternateContent>
  <xr:revisionPtr revIDLastSave="0" documentId="13_ncr:1_{89705E20-EB11-48F4-8E2B-FD2C00933423}" xr6:coauthVersionLast="47" xr6:coauthVersionMax="47" xr10:uidLastSave="{00000000-0000-0000-0000-000000000000}"/>
  <bookViews>
    <workbookView xWindow="-108" yWindow="-108" windowWidth="23256" windowHeight="12456" firstSheet="8" activeTab="8" xr2:uid="{0704A9CA-3681-42B7-AA5D-6EE9943740D0}"/>
  </bookViews>
  <sheets>
    <sheet name="Report" sheetId="7" state="hidden" r:id="rId1"/>
    <sheet name="Detail1" sheetId="9" state="hidden" r:id="rId2"/>
    <sheet name="Detail2" sheetId="10" state="hidden" r:id="rId3"/>
    <sheet name="Sheet6" sheetId="16" state="hidden" r:id="rId4"/>
    <sheet name="Sheet4" sheetId="14" state="hidden" r:id="rId5"/>
    <sheet name="ATD &gt;" sheetId="1" state="hidden" r:id="rId6"/>
    <sheet name="REGIONAL PTD" sheetId="2" state="hidden" r:id="rId7"/>
    <sheet name="NEW ATD PER TEAM" sheetId="3" state="hidden" r:id="rId8"/>
    <sheet name="Overview Dashboard" sheetId="12" r:id="rId9"/>
    <sheet name="Sheet8" sheetId="8" state="hidden" r:id="rId10"/>
    <sheet name="ATD Daily&gt; (2)" sheetId="11" state="hidden" r:id="rId11"/>
    <sheet name="Table" sheetId="6" state="hidden" r:id="rId12"/>
    <sheet name="Total" sheetId="5" state="hidden" r:id="rId13"/>
    <sheet name="Total (2)" sheetId="17" state="hidden" r:id="rId14"/>
  </sheets>
  <externalReferences>
    <externalReference r:id="rId15"/>
  </externalReferences>
  <definedNames>
    <definedName name="_xlnm._FilterDatabase" localSheetId="12" hidden="1">Total!$B$3:$Y$47</definedName>
    <definedName name="_xlnm._FilterDatabase" localSheetId="13" hidden="1">'Total (2)'!$B$3:$Y$47</definedName>
  </definedNames>
  <calcPr calcId="191029"/>
  <pivotCaches>
    <pivotCache cacheId="0" r:id="rId16"/>
    <pivotCache cacheId="3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5" i="5" l="1"/>
  <c r="N146" i="5"/>
  <c r="N147" i="5"/>
  <c r="N148" i="5"/>
  <c r="N149" i="5"/>
  <c r="N150" i="5"/>
  <c r="N151" i="5"/>
  <c r="N152" i="5"/>
  <c r="F145" i="5"/>
  <c r="F146" i="5"/>
  <c r="F147" i="5"/>
  <c r="F148" i="5"/>
  <c r="F149" i="5"/>
  <c r="F150" i="5"/>
  <c r="F151" i="5"/>
  <c r="F152" i="5"/>
  <c r="S152" i="5"/>
  <c r="S151" i="5"/>
  <c r="S150" i="5"/>
  <c r="S149" i="5"/>
  <c r="S148" i="5"/>
  <c r="S147" i="5"/>
  <c r="S146" i="5"/>
  <c r="S145" i="5"/>
  <c r="N138" i="5"/>
  <c r="N139" i="5"/>
  <c r="N140" i="5"/>
  <c r="N141" i="5"/>
  <c r="N142" i="5"/>
  <c r="N143" i="5"/>
  <c r="N144" i="5"/>
  <c r="S144" i="5"/>
  <c r="S143" i="5"/>
  <c r="S142" i="5"/>
  <c r="S141" i="5"/>
  <c r="S140" i="5"/>
  <c r="S139" i="5"/>
  <c r="S138" i="5"/>
  <c r="F138" i="5"/>
  <c r="F139" i="5"/>
  <c r="F140" i="5"/>
  <c r="F141" i="5"/>
  <c r="F142" i="5"/>
  <c r="F143" i="5"/>
  <c r="F144" i="5"/>
  <c r="N129" i="5"/>
  <c r="N130" i="5"/>
  <c r="N131" i="5"/>
  <c r="N132" i="5"/>
  <c r="N133" i="5"/>
  <c r="N134" i="5"/>
  <c r="N135" i="5"/>
  <c r="N136" i="5"/>
  <c r="N137" i="5"/>
  <c r="S137" i="5"/>
  <c r="S136" i="5"/>
  <c r="S135" i="5"/>
  <c r="S134" i="5"/>
  <c r="S133" i="5"/>
  <c r="S132" i="5"/>
  <c r="S131" i="5"/>
  <c r="S130" i="5"/>
  <c r="S129" i="5"/>
  <c r="F129" i="5"/>
  <c r="F130" i="5"/>
  <c r="F131" i="5"/>
  <c r="F132" i="5"/>
  <c r="F133" i="5"/>
  <c r="F134" i="5"/>
  <c r="F135" i="5"/>
  <c r="F136" i="5"/>
  <c r="F137" i="5"/>
  <c r="N121" i="5"/>
  <c r="N122" i="5"/>
  <c r="N123" i="5"/>
  <c r="N124" i="5"/>
  <c r="N125" i="5"/>
  <c r="N126" i="5"/>
  <c r="N127" i="5"/>
  <c r="N128" i="5"/>
  <c r="F121" i="5"/>
  <c r="F122" i="5"/>
  <c r="F123" i="5"/>
  <c r="F124" i="5"/>
  <c r="F125" i="5"/>
  <c r="F126" i="5"/>
  <c r="F127" i="5"/>
  <c r="F128" i="5"/>
  <c r="S128" i="5"/>
  <c r="S127" i="5"/>
  <c r="S126" i="5"/>
  <c r="S125" i="5"/>
  <c r="S124" i="5"/>
  <c r="S123" i="5"/>
  <c r="S122" i="5"/>
  <c r="S121" i="5"/>
  <c r="N117" i="5"/>
  <c r="N118" i="5"/>
  <c r="N119" i="5"/>
  <c r="N120" i="5"/>
  <c r="S120" i="5"/>
  <c r="S119" i="5"/>
  <c r="S118" i="5"/>
  <c r="S117" i="5"/>
  <c r="F117" i="5"/>
  <c r="F118" i="5"/>
  <c r="F119" i="5"/>
  <c r="F120" i="5"/>
  <c r="N115" i="5"/>
  <c r="N116" i="5"/>
  <c r="F115" i="5"/>
  <c r="F116" i="5"/>
  <c r="S116" i="5"/>
  <c r="S115" i="5"/>
  <c r="F110" i="5"/>
  <c r="F111" i="5"/>
  <c r="F112" i="5"/>
  <c r="F113" i="5"/>
  <c r="F114" i="5"/>
  <c r="N111" i="5"/>
  <c r="N112" i="5"/>
  <c r="N113" i="5"/>
  <c r="N114" i="5"/>
  <c r="S114" i="5"/>
  <c r="S113" i="5"/>
  <c r="S112" i="5"/>
  <c r="S111" i="5"/>
  <c r="N109" i="5"/>
  <c r="N110" i="5"/>
  <c r="F109" i="5"/>
  <c r="S110" i="5"/>
  <c r="S109" i="5"/>
  <c r="N103" i="5"/>
  <c r="N104" i="5"/>
  <c r="N105" i="5"/>
  <c r="N106" i="5"/>
  <c r="N107" i="5"/>
  <c r="N108" i="5"/>
  <c r="S108" i="5"/>
  <c r="S107" i="5"/>
  <c r="S106" i="5"/>
  <c r="S105" i="5"/>
  <c r="S104" i="5"/>
  <c r="S103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S78" i="5"/>
  <c r="N99" i="5"/>
  <c r="N100" i="5"/>
  <c r="N101" i="5"/>
  <c r="N102" i="5"/>
  <c r="S102" i="5"/>
  <c r="S101" i="5"/>
  <c r="S100" i="5"/>
  <c r="S9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F81" i="5"/>
  <c r="F82" i="5"/>
  <c r="F83" i="5"/>
  <c r="F84" i="5"/>
  <c r="F85" i="5"/>
  <c r="F86" i="5"/>
  <c r="F87" i="5"/>
  <c r="F88" i="5"/>
  <c r="F89" i="5"/>
  <c r="F80" i="5"/>
  <c r="S97" i="17"/>
  <c r="S96" i="17"/>
  <c r="S95" i="17"/>
  <c r="S94" i="17"/>
  <c r="S93" i="17"/>
  <c r="S92" i="17"/>
  <c r="S91" i="17"/>
  <c r="S90" i="17"/>
  <c r="S89" i="17"/>
  <c r="S88" i="17"/>
  <c r="S87" i="17"/>
  <c r="S86" i="17"/>
  <c r="S85" i="17"/>
  <c r="S84" i="17"/>
  <c r="S83" i="17"/>
  <c r="S82" i="17"/>
  <c r="S81" i="17"/>
  <c r="S80" i="17"/>
  <c r="S79" i="17"/>
  <c r="S78" i="17"/>
  <c r="N78" i="17"/>
  <c r="S77" i="17"/>
  <c r="N77" i="17"/>
  <c r="S76" i="17"/>
  <c r="N76" i="17"/>
  <c r="S75" i="17"/>
  <c r="N75" i="17"/>
  <c r="S74" i="17"/>
  <c r="N74" i="17"/>
  <c r="S73" i="17"/>
  <c r="N73" i="17"/>
  <c r="S72" i="17"/>
  <c r="N72" i="17"/>
  <c r="S71" i="17"/>
  <c r="N71" i="17"/>
  <c r="S70" i="17"/>
  <c r="N70" i="17"/>
  <c r="S69" i="17"/>
  <c r="N69" i="17"/>
  <c r="S68" i="17"/>
  <c r="N68" i="17"/>
  <c r="S67" i="17"/>
  <c r="N67" i="17"/>
  <c r="S66" i="17"/>
  <c r="N66" i="17"/>
  <c r="S65" i="17"/>
  <c r="N65" i="17"/>
  <c r="S64" i="17"/>
  <c r="N64" i="17"/>
  <c r="S63" i="17"/>
  <c r="N63" i="17"/>
  <c r="S62" i="17"/>
  <c r="N62" i="17"/>
  <c r="S61" i="17"/>
  <c r="N61" i="17"/>
  <c r="S60" i="17"/>
  <c r="N60" i="17"/>
  <c r="S59" i="17"/>
  <c r="N59" i="17"/>
  <c r="S58" i="17"/>
  <c r="N58" i="17"/>
  <c r="S57" i="17"/>
  <c r="N57" i="17"/>
  <c r="S56" i="17"/>
  <c r="N56" i="17"/>
  <c r="S55" i="17"/>
  <c r="N55" i="17"/>
  <c r="S54" i="17"/>
  <c r="N54" i="17"/>
  <c r="S53" i="17"/>
  <c r="N53" i="17"/>
  <c r="S52" i="17"/>
  <c r="N52" i="17"/>
  <c r="S51" i="17"/>
  <c r="N51" i="17"/>
  <c r="S50" i="17"/>
  <c r="N50" i="17"/>
  <c r="S49" i="17"/>
  <c r="N49" i="17"/>
  <c r="S48" i="17"/>
  <c r="N48" i="17"/>
  <c r="S47" i="17"/>
  <c r="N47" i="17"/>
  <c r="S46" i="17"/>
  <c r="N46" i="17"/>
  <c r="S45" i="17"/>
  <c r="N45" i="17"/>
  <c r="S44" i="17"/>
  <c r="N44" i="17"/>
  <c r="S43" i="17"/>
  <c r="N43" i="17"/>
  <c r="S42" i="17"/>
  <c r="N42" i="17"/>
  <c r="S41" i="17"/>
  <c r="N41" i="17"/>
  <c r="S40" i="17"/>
  <c r="N40" i="17"/>
  <c r="S39" i="17"/>
  <c r="N39" i="17"/>
  <c r="S38" i="17"/>
  <c r="N38" i="17"/>
  <c r="S37" i="17"/>
  <c r="N37" i="17"/>
  <c r="S36" i="17"/>
  <c r="N36" i="17"/>
  <c r="S35" i="17"/>
  <c r="N35" i="17"/>
  <c r="S34" i="17"/>
  <c r="N34" i="17"/>
  <c r="S33" i="17"/>
  <c r="N33" i="17"/>
  <c r="S32" i="17"/>
  <c r="N32" i="17"/>
  <c r="S31" i="17"/>
  <c r="N31" i="17"/>
  <c r="S30" i="17"/>
  <c r="N30" i="17"/>
  <c r="S29" i="17"/>
  <c r="N29" i="17"/>
  <c r="S28" i="17"/>
  <c r="N28" i="17"/>
  <c r="S27" i="17"/>
  <c r="N27" i="17"/>
  <c r="S26" i="17"/>
  <c r="N26" i="17"/>
  <c r="S25" i="17"/>
  <c r="N25" i="17"/>
  <c r="S24" i="17"/>
  <c r="N24" i="17"/>
  <c r="S23" i="17"/>
  <c r="N23" i="17"/>
  <c r="S22" i="17"/>
  <c r="N22" i="17"/>
  <c r="S21" i="17"/>
  <c r="N21" i="17"/>
  <c r="S20" i="17"/>
  <c r="N20" i="17"/>
  <c r="S19" i="17"/>
  <c r="N19" i="17"/>
  <c r="S18" i="17"/>
  <c r="N18" i="17"/>
  <c r="S17" i="17"/>
  <c r="N17" i="17"/>
  <c r="S16" i="17"/>
  <c r="N16" i="17"/>
  <c r="S15" i="17"/>
  <c r="N15" i="17"/>
  <c r="S14" i="17"/>
  <c r="N14" i="17"/>
  <c r="S13" i="17"/>
  <c r="N13" i="17"/>
  <c r="S12" i="17"/>
  <c r="N12" i="17"/>
  <c r="S11" i="17"/>
  <c r="N11" i="17"/>
  <c r="S10" i="17"/>
  <c r="N10" i="17"/>
  <c r="S9" i="17"/>
  <c r="N9" i="17"/>
  <c r="S8" i="17"/>
  <c r="N8" i="17"/>
  <c r="S7" i="17"/>
  <c r="N7" i="17"/>
  <c r="S6" i="17"/>
  <c r="N6" i="17"/>
  <c r="S5" i="17"/>
  <c r="N5" i="17"/>
  <c r="S4" i="17"/>
  <c r="N4" i="17"/>
  <c r="S98" i="5"/>
  <c r="S97" i="5"/>
  <c r="S96" i="5"/>
  <c r="S95" i="5"/>
  <c r="S94" i="5"/>
  <c r="S93" i="5"/>
  <c r="S92" i="5"/>
  <c r="S91" i="5"/>
  <c r="S90" i="5"/>
  <c r="S89" i="5"/>
  <c r="S80" i="5"/>
  <c r="S81" i="5"/>
  <c r="S82" i="5"/>
  <c r="S83" i="5"/>
  <c r="S84" i="5"/>
  <c r="S85" i="5"/>
  <c r="S86" i="5"/>
  <c r="S87" i="5"/>
  <c r="S88" i="5"/>
  <c r="N70" i="5"/>
  <c r="N71" i="5"/>
  <c r="N72" i="5"/>
  <c r="N73" i="5"/>
  <c r="N74" i="5"/>
  <c r="N75" i="5"/>
  <c r="N76" i="5"/>
  <c r="N77" i="5"/>
  <c r="N79" i="5"/>
  <c r="S79" i="5"/>
  <c r="S77" i="5"/>
  <c r="S76" i="5"/>
  <c r="S75" i="5"/>
  <c r="S74" i="5"/>
  <c r="S73" i="5"/>
  <c r="S72" i="5"/>
  <c r="S71" i="5"/>
  <c r="S70" i="5"/>
  <c r="N68" i="5"/>
  <c r="N69" i="5"/>
  <c r="S69" i="5"/>
  <c r="S68" i="5"/>
  <c r="N60" i="5"/>
  <c r="N61" i="5"/>
  <c r="N62" i="5"/>
  <c r="N63" i="5"/>
  <c r="N64" i="5"/>
  <c r="N65" i="5"/>
  <c r="N66" i="5"/>
  <c r="N67" i="5"/>
  <c r="S67" i="5"/>
  <c r="S66" i="5"/>
  <c r="S65" i="5"/>
  <c r="S64" i="5"/>
  <c r="S63" i="5"/>
  <c r="S62" i="5"/>
  <c r="S61" i="5"/>
  <c r="S60" i="5"/>
  <c r="N48" i="5"/>
  <c r="N49" i="5"/>
  <c r="N50" i="5"/>
  <c r="N51" i="5"/>
  <c r="N52" i="5"/>
  <c r="N53" i="5"/>
  <c r="N54" i="5"/>
  <c r="N55" i="5"/>
  <c r="N56" i="5"/>
  <c r="N57" i="5"/>
  <c r="N58" i="5"/>
  <c r="N59" i="5"/>
  <c r="S54" i="5"/>
  <c r="S59" i="5"/>
  <c r="S58" i="5"/>
  <c r="S57" i="5"/>
  <c r="S56" i="5"/>
  <c r="S55" i="5"/>
  <c r="S53" i="5"/>
  <c r="S52" i="5"/>
  <c r="S51" i="5"/>
  <c r="S50" i="5"/>
  <c r="S49" i="5"/>
  <c r="S48" i="5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64" i="12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" i="5"/>
  <c r="C7" i="6"/>
  <c r="B8" i="6"/>
  <c r="E8" i="6"/>
  <c r="F8" i="6"/>
  <c r="G8" i="6"/>
  <c r="H8" i="6"/>
  <c r="F4" i="6"/>
  <c r="F11" i="6"/>
  <c r="F13" i="6"/>
  <c r="F14" i="6"/>
  <c r="G4" i="6"/>
  <c r="G11" i="6"/>
  <c r="G13" i="6"/>
  <c r="G14" i="6"/>
  <c r="I86" i="12"/>
  <c r="H86" i="12"/>
  <c r="I85" i="12"/>
  <c r="H85" i="12"/>
  <c r="I84" i="12"/>
  <c r="H84" i="12"/>
  <c r="I78" i="12"/>
  <c r="H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41" i="11"/>
  <c r="I41" i="11"/>
  <c r="J40" i="11"/>
  <c r="I40" i="11"/>
  <c r="J39" i="11"/>
  <c r="I39" i="11"/>
  <c r="J38" i="11"/>
  <c r="I38" i="11"/>
  <c r="J28" i="11"/>
  <c r="I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D18" i="8"/>
  <c r="D16" i="8" s="1"/>
  <c r="D17" i="8"/>
  <c r="M40" i="1"/>
  <c r="J53" i="7"/>
  <c r="I53" i="7"/>
  <c r="I54" i="7" s="1"/>
  <c r="G53" i="7"/>
  <c r="H52" i="7"/>
  <c r="H51" i="7"/>
  <c r="M50" i="7"/>
  <c r="M53" i="7" s="1"/>
  <c r="L50" i="7"/>
  <c r="L53" i="7" s="1"/>
  <c r="K50" i="7"/>
  <c r="K53" i="7" s="1"/>
  <c r="H50" i="7"/>
  <c r="H53" i="7" s="1"/>
  <c r="J49" i="7"/>
  <c r="G49" i="7"/>
  <c r="F49" i="7"/>
  <c r="E49" i="7"/>
  <c r="E53" i="7" s="1"/>
  <c r="M48" i="7"/>
  <c r="L48" i="7"/>
  <c r="K48" i="7"/>
  <c r="H48" i="7"/>
  <c r="M47" i="7"/>
  <c r="M49" i="7" s="1"/>
  <c r="M54" i="7" s="1"/>
  <c r="L47" i="7"/>
  <c r="L49" i="7" s="1"/>
  <c r="L54" i="7" s="1"/>
  <c r="K47" i="7"/>
  <c r="K49" i="7" s="1"/>
  <c r="H47" i="7"/>
  <c r="H46" i="7"/>
  <c r="H45" i="7"/>
  <c r="H44" i="7"/>
  <c r="H43" i="7"/>
  <c r="H49" i="7" s="1"/>
  <c r="K42" i="7"/>
  <c r="K54" i="7" s="1"/>
  <c r="J42" i="7"/>
  <c r="J54" i="7" s="1"/>
  <c r="G42" i="7"/>
  <c r="G54" i="7" s="1"/>
  <c r="F42" i="7"/>
  <c r="F54" i="7" s="1"/>
  <c r="E42" i="7"/>
  <c r="E54" i="7" s="1"/>
  <c r="H41" i="7"/>
  <c r="H40" i="7"/>
  <c r="H39" i="7"/>
  <c r="H38" i="7"/>
  <c r="H37" i="7"/>
  <c r="H42" i="7" s="1"/>
  <c r="H54" i="7" s="1"/>
  <c r="J30" i="7"/>
  <c r="I30" i="7"/>
  <c r="I31" i="7" s="1"/>
  <c r="G30" i="7"/>
  <c r="H29" i="7"/>
  <c r="H28" i="7"/>
  <c r="M27" i="7"/>
  <c r="M30" i="7" s="1"/>
  <c r="L27" i="7"/>
  <c r="L30" i="7" s="1"/>
  <c r="K27" i="7"/>
  <c r="K30" i="7" s="1"/>
  <c r="H27" i="7"/>
  <c r="H30" i="7" s="1"/>
  <c r="J26" i="7"/>
  <c r="J31" i="7" s="1"/>
  <c r="G26" i="7"/>
  <c r="F26" i="7"/>
  <c r="F30" i="7" s="1"/>
  <c r="E26" i="7"/>
  <c r="E30" i="7" s="1"/>
  <c r="M25" i="7"/>
  <c r="M26" i="7" s="1"/>
  <c r="M31" i="7" s="1"/>
  <c r="L25" i="7"/>
  <c r="L26" i="7" s="1"/>
  <c r="L31" i="7" s="1"/>
  <c r="K25" i="7"/>
  <c r="K26" i="7" s="1"/>
  <c r="K31" i="7" s="1"/>
  <c r="H25" i="7"/>
  <c r="H24" i="7"/>
  <c r="H23" i="7"/>
  <c r="H22" i="7"/>
  <c r="H21" i="7"/>
  <c r="H20" i="7"/>
  <c r="H26" i="7" s="1"/>
  <c r="K19" i="7"/>
  <c r="J19" i="7"/>
  <c r="G19" i="7"/>
  <c r="G31" i="7" s="1"/>
  <c r="F19" i="7"/>
  <c r="F31" i="7" s="1"/>
  <c r="E19" i="7"/>
  <c r="E31" i="7" s="1"/>
  <c r="H18" i="7"/>
  <c r="H17" i="7"/>
  <c r="H16" i="7"/>
  <c r="H15" i="7"/>
  <c r="H14" i="7"/>
  <c r="H19" i="7" s="1"/>
  <c r="H31" i="7" s="1"/>
  <c r="L3" i="7"/>
  <c r="L4" i="7" s="1"/>
  <c r="E15" i="6"/>
  <c r="C15" i="6"/>
  <c r="B15" i="6"/>
  <c r="E14" i="6"/>
  <c r="D14" i="6"/>
  <c r="B14" i="6"/>
  <c r="E13" i="6"/>
  <c r="B13" i="6"/>
  <c r="E12" i="6"/>
  <c r="G12" i="6"/>
  <c r="B12" i="6"/>
  <c r="E11" i="6"/>
  <c r="B11" i="6"/>
  <c r="E10" i="6"/>
  <c r="D10" i="6"/>
  <c r="C10" i="6"/>
  <c r="B10" i="6"/>
  <c r="E9" i="6"/>
  <c r="D9" i="6"/>
  <c r="C9" i="6"/>
  <c r="B9" i="6"/>
  <c r="E7" i="6"/>
  <c r="B7" i="6"/>
  <c r="E6" i="6"/>
  <c r="C6" i="6"/>
  <c r="B6" i="6"/>
  <c r="E5" i="6"/>
  <c r="C5" i="6"/>
  <c r="B5" i="6"/>
  <c r="E4" i="6"/>
  <c r="B4" i="6"/>
  <c r="E3" i="6"/>
  <c r="C3" i="6"/>
  <c r="B3" i="6"/>
  <c r="E2" i="6"/>
  <c r="B2" i="6"/>
  <c r="I133" i="3"/>
  <c r="I132" i="3"/>
  <c r="I131" i="3"/>
  <c r="I130" i="3"/>
  <c r="H128" i="3"/>
  <c r="G128" i="3"/>
  <c r="G129" i="3" s="1"/>
  <c r="AA127" i="3"/>
  <c r="AD127" i="3" s="1"/>
  <c r="Z127" i="3"/>
  <c r="X127" i="3"/>
  <c r="U127" i="3"/>
  <c r="R127" i="3"/>
  <c r="O127" i="3"/>
  <c r="L127" i="3"/>
  <c r="J127" i="3"/>
  <c r="I127" i="3"/>
  <c r="AA126" i="3"/>
  <c r="AD126" i="3" s="1"/>
  <c r="Z126" i="3"/>
  <c r="X126" i="3"/>
  <c r="U126" i="3"/>
  <c r="R126" i="3"/>
  <c r="O126" i="3"/>
  <c r="L126" i="3"/>
  <c r="J126" i="3"/>
  <c r="I126" i="3"/>
  <c r="AA125" i="3"/>
  <c r="AD125" i="3" s="1"/>
  <c r="Z125" i="3"/>
  <c r="X125" i="3"/>
  <c r="U125" i="3"/>
  <c r="R125" i="3"/>
  <c r="O125" i="3"/>
  <c r="L125" i="3"/>
  <c r="J125" i="3"/>
  <c r="I125" i="3"/>
  <c r="AA124" i="3"/>
  <c r="Z124" i="3"/>
  <c r="Z128" i="3" s="1"/>
  <c r="X124" i="3"/>
  <c r="U124" i="3"/>
  <c r="R124" i="3"/>
  <c r="O124" i="3"/>
  <c r="L124" i="3"/>
  <c r="J124" i="3"/>
  <c r="I124" i="3"/>
  <c r="H122" i="3"/>
  <c r="I122" i="3" s="1"/>
  <c r="G122" i="3"/>
  <c r="AA121" i="3"/>
  <c r="AD121" i="3" s="1"/>
  <c r="Z121" i="3"/>
  <c r="X121" i="3"/>
  <c r="U121" i="3"/>
  <c r="R121" i="3"/>
  <c r="O121" i="3"/>
  <c r="L121" i="3"/>
  <c r="J121" i="3"/>
  <c r="I121" i="3"/>
  <c r="AA120" i="3"/>
  <c r="AD120" i="3" s="1"/>
  <c r="Z120" i="3"/>
  <c r="X120" i="3"/>
  <c r="U120" i="3"/>
  <c r="R120" i="3"/>
  <c r="O120" i="3"/>
  <c r="L120" i="3"/>
  <c r="J120" i="3"/>
  <c r="I120" i="3"/>
  <c r="AA119" i="3"/>
  <c r="AD119" i="3" s="1"/>
  <c r="Z119" i="3"/>
  <c r="X119" i="3"/>
  <c r="U119" i="3"/>
  <c r="R119" i="3"/>
  <c r="O119" i="3"/>
  <c r="L119" i="3"/>
  <c r="J119" i="3"/>
  <c r="I119" i="3"/>
  <c r="AA118" i="3"/>
  <c r="Z118" i="3"/>
  <c r="Z122" i="3" s="1"/>
  <c r="X118" i="3"/>
  <c r="U118" i="3"/>
  <c r="R118" i="3"/>
  <c r="O118" i="3"/>
  <c r="L118" i="3"/>
  <c r="J118" i="3"/>
  <c r="I118" i="3"/>
  <c r="H116" i="3"/>
  <c r="I116" i="3" s="1"/>
  <c r="G116" i="3"/>
  <c r="AA115" i="3"/>
  <c r="AD115" i="3" s="1"/>
  <c r="Z115" i="3"/>
  <c r="X115" i="3"/>
  <c r="U115" i="3"/>
  <c r="R115" i="3"/>
  <c r="O115" i="3"/>
  <c r="L115" i="3"/>
  <c r="J115" i="3"/>
  <c r="I115" i="3"/>
  <c r="AA114" i="3"/>
  <c r="AD114" i="3" s="1"/>
  <c r="Z114" i="3"/>
  <c r="X114" i="3"/>
  <c r="U114" i="3"/>
  <c r="R114" i="3"/>
  <c r="O114" i="3"/>
  <c r="L114" i="3"/>
  <c r="J114" i="3"/>
  <c r="I114" i="3"/>
  <c r="AA113" i="3"/>
  <c r="AD113" i="3" s="1"/>
  <c r="Z113" i="3"/>
  <c r="X113" i="3"/>
  <c r="U113" i="3"/>
  <c r="R113" i="3"/>
  <c r="O113" i="3"/>
  <c r="L113" i="3"/>
  <c r="J113" i="3"/>
  <c r="I113" i="3"/>
  <c r="AA112" i="3"/>
  <c r="Z112" i="3"/>
  <c r="Z116" i="3" s="1"/>
  <c r="X112" i="3"/>
  <c r="U112" i="3"/>
  <c r="R112" i="3"/>
  <c r="O112" i="3"/>
  <c r="L112" i="3"/>
  <c r="J112" i="3"/>
  <c r="I112" i="3"/>
  <c r="H110" i="3"/>
  <c r="I110" i="3" s="1"/>
  <c r="G110" i="3"/>
  <c r="AA109" i="3"/>
  <c r="AD109" i="3" s="1"/>
  <c r="Z109" i="3"/>
  <c r="X109" i="3"/>
  <c r="U109" i="3"/>
  <c r="R109" i="3"/>
  <c r="O109" i="3"/>
  <c r="L109" i="3"/>
  <c r="J109" i="3"/>
  <c r="I109" i="3"/>
  <c r="AA108" i="3"/>
  <c r="AD108" i="3" s="1"/>
  <c r="Z108" i="3"/>
  <c r="X108" i="3"/>
  <c r="U108" i="3"/>
  <c r="R108" i="3"/>
  <c r="O108" i="3"/>
  <c r="L108" i="3"/>
  <c r="J108" i="3"/>
  <c r="I108" i="3"/>
  <c r="AA107" i="3"/>
  <c r="AD107" i="3" s="1"/>
  <c r="Z107" i="3"/>
  <c r="X107" i="3"/>
  <c r="U107" i="3"/>
  <c r="R107" i="3"/>
  <c r="O107" i="3"/>
  <c r="L107" i="3"/>
  <c r="J107" i="3"/>
  <c r="I107" i="3"/>
  <c r="AA106" i="3"/>
  <c r="Z106" i="3"/>
  <c r="Z110" i="3" s="1"/>
  <c r="X106" i="3"/>
  <c r="U106" i="3"/>
  <c r="R106" i="3"/>
  <c r="O106" i="3"/>
  <c r="L106" i="3"/>
  <c r="J106" i="3"/>
  <c r="I106" i="3"/>
  <c r="H104" i="3"/>
  <c r="I104" i="3" s="1"/>
  <c r="G104" i="3"/>
  <c r="AA103" i="3"/>
  <c r="AD103" i="3" s="1"/>
  <c r="Z103" i="3"/>
  <c r="X103" i="3"/>
  <c r="U103" i="3"/>
  <c r="R103" i="3"/>
  <c r="O103" i="3"/>
  <c r="L103" i="3"/>
  <c r="J103" i="3"/>
  <c r="I103" i="3"/>
  <c r="AA102" i="3"/>
  <c r="AD102" i="3" s="1"/>
  <c r="Z102" i="3"/>
  <c r="X102" i="3"/>
  <c r="U102" i="3"/>
  <c r="R102" i="3"/>
  <c r="O102" i="3"/>
  <c r="L102" i="3"/>
  <c r="J102" i="3"/>
  <c r="I102" i="3"/>
  <c r="AA101" i="3"/>
  <c r="AD101" i="3" s="1"/>
  <c r="Z101" i="3"/>
  <c r="X101" i="3"/>
  <c r="U101" i="3"/>
  <c r="R101" i="3"/>
  <c r="O101" i="3"/>
  <c r="L101" i="3"/>
  <c r="J101" i="3"/>
  <c r="I101" i="3"/>
  <c r="AA100" i="3"/>
  <c r="Z100" i="3"/>
  <c r="Z104" i="3" s="1"/>
  <c r="X100" i="3"/>
  <c r="U100" i="3"/>
  <c r="R100" i="3"/>
  <c r="O100" i="3"/>
  <c r="L100" i="3"/>
  <c r="J100" i="3"/>
  <c r="I100" i="3"/>
  <c r="H98" i="3"/>
  <c r="I98" i="3" s="1"/>
  <c r="G98" i="3"/>
  <c r="AA97" i="3"/>
  <c r="AD97" i="3" s="1"/>
  <c r="Z97" i="3"/>
  <c r="X97" i="3"/>
  <c r="U97" i="3"/>
  <c r="O97" i="3"/>
  <c r="L97" i="3"/>
  <c r="J97" i="3"/>
  <c r="I97" i="3"/>
  <c r="AA96" i="3"/>
  <c r="AD96" i="3" s="1"/>
  <c r="Z96" i="3"/>
  <c r="X96" i="3"/>
  <c r="U96" i="3"/>
  <c r="O96" i="3"/>
  <c r="L96" i="3"/>
  <c r="J96" i="3"/>
  <c r="I96" i="3"/>
  <c r="AA95" i="3"/>
  <c r="AD95" i="3" s="1"/>
  <c r="Z95" i="3"/>
  <c r="X95" i="3"/>
  <c r="U95" i="3"/>
  <c r="O95" i="3"/>
  <c r="L95" i="3"/>
  <c r="J95" i="3"/>
  <c r="I95" i="3"/>
  <c r="AA94" i="3"/>
  <c r="Z94" i="3"/>
  <c r="Z98" i="3" s="1"/>
  <c r="X94" i="3"/>
  <c r="U94" i="3"/>
  <c r="O94" i="3"/>
  <c r="L94" i="3"/>
  <c r="J94" i="3"/>
  <c r="I94" i="3"/>
  <c r="H92" i="3"/>
  <c r="I92" i="3" s="1"/>
  <c r="G92" i="3"/>
  <c r="AA91" i="3"/>
  <c r="AD91" i="3" s="1"/>
  <c r="Z91" i="3"/>
  <c r="X91" i="3"/>
  <c r="U91" i="3"/>
  <c r="R91" i="3"/>
  <c r="O91" i="3"/>
  <c r="L91" i="3"/>
  <c r="J91" i="3"/>
  <c r="I91" i="3"/>
  <c r="AA90" i="3"/>
  <c r="AD90" i="3" s="1"/>
  <c r="Z90" i="3"/>
  <c r="X90" i="3"/>
  <c r="U90" i="3"/>
  <c r="R90" i="3"/>
  <c r="O90" i="3"/>
  <c r="L90" i="3"/>
  <c r="J90" i="3"/>
  <c r="I90" i="3"/>
  <c r="AA89" i="3"/>
  <c r="AD89" i="3" s="1"/>
  <c r="Z89" i="3"/>
  <c r="X89" i="3"/>
  <c r="U89" i="3"/>
  <c r="R89" i="3"/>
  <c r="O89" i="3"/>
  <c r="L89" i="3"/>
  <c r="J89" i="3"/>
  <c r="I89" i="3"/>
  <c r="AA88" i="3"/>
  <c r="Z88" i="3"/>
  <c r="Z92" i="3" s="1"/>
  <c r="X88" i="3"/>
  <c r="U88" i="3"/>
  <c r="R88" i="3"/>
  <c r="O88" i="3"/>
  <c r="L88" i="3"/>
  <c r="J88" i="3"/>
  <c r="I88" i="3"/>
  <c r="H86" i="3"/>
  <c r="I86" i="3" s="1"/>
  <c r="G86" i="3"/>
  <c r="AA85" i="3"/>
  <c r="AD85" i="3" s="1"/>
  <c r="Z85" i="3"/>
  <c r="X85" i="3"/>
  <c r="U85" i="3"/>
  <c r="R85" i="3"/>
  <c r="O85" i="3"/>
  <c r="L85" i="3"/>
  <c r="J85" i="3"/>
  <c r="I85" i="3"/>
  <c r="AA84" i="3"/>
  <c r="AD84" i="3" s="1"/>
  <c r="Z84" i="3"/>
  <c r="X84" i="3"/>
  <c r="U84" i="3"/>
  <c r="R84" i="3"/>
  <c r="O84" i="3"/>
  <c r="L84" i="3"/>
  <c r="J84" i="3"/>
  <c r="I84" i="3"/>
  <c r="AA83" i="3"/>
  <c r="AD83" i="3" s="1"/>
  <c r="Z83" i="3"/>
  <c r="X83" i="3"/>
  <c r="U83" i="3"/>
  <c r="R83" i="3"/>
  <c r="O83" i="3"/>
  <c r="L83" i="3"/>
  <c r="J83" i="3"/>
  <c r="I83" i="3"/>
  <c r="AA82" i="3"/>
  <c r="Z82" i="3"/>
  <c r="Z86" i="3" s="1"/>
  <c r="X82" i="3"/>
  <c r="U82" i="3"/>
  <c r="R82" i="3"/>
  <c r="O82" i="3"/>
  <c r="L82" i="3"/>
  <c r="J82" i="3"/>
  <c r="I82" i="3"/>
  <c r="H80" i="3"/>
  <c r="I80" i="3" s="1"/>
  <c r="G80" i="3"/>
  <c r="AA79" i="3"/>
  <c r="AD79" i="3" s="1"/>
  <c r="Z79" i="3"/>
  <c r="X79" i="3"/>
  <c r="U79" i="3"/>
  <c r="R79" i="3"/>
  <c r="O79" i="3"/>
  <c r="L79" i="3"/>
  <c r="J79" i="3"/>
  <c r="I79" i="3"/>
  <c r="AA78" i="3"/>
  <c r="AD78" i="3" s="1"/>
  <c r="Z78" i="3"/>
  <c r="X78" i="3"/>
  <c r="U78" i="3"/>
  <c r="R78" i="3"/>
  <c r="O78" i="3"/>
  <c r="L78" i="3"/>
  <c r="J78" i="3"/>
  <c r="I78" i="3"/>
  <c r="AA77" i="3"/>
  <c r="AD77" i="3" s="1"/>
  <c r="Z77" i="3"/>
  <c r="X77" i="3"/>
  <c r="U77" i="3"/>
  <c r="R77" i="3"/>
  <c r="O77" i="3"/>
  <c r="L77" i="3"/>
  <c r="J77" i="3"/>
  <c r="I77" i="3"/>
  <c r="AA76" i="3"/>
  <c r="Z76" i="3"/>
  <c r="Z80" i="3" s="1"/>
  <c r="X76" i="3"/>
  <c r="U76" i="3"/>
  <c r="R76" i="3"/>
  <c r="O76" i="3"/>
  <c r="L76" i="3"/>
  <c r="J76" i="3"/>
  <c r="I76" i="3"/>
  <c r="AB74" i="3"/>
  <c r="H74" i="3"/>
  <c r="I74" i="3" s="1"/>
  <c r="G74" i="3"/>
  <c r="AA73" i="3"/>
  <c r="AD73" i="3" s="1"/>
  <c r="Z73" i="3"/>
  <c r="X73" i="3"/>
  <c r="U73" i="3"/>
  <c r="R73" i="3"/>
  <c r="O73" i="3"/>
  <c r="L73" i="3"/>
  <c r="J73" i="3"/>
  <c r="I73" i="3"/>
  <c r="AA72" i="3"/>
  <c r="AD72" i="3" s="1"/>
  <c r="Z72" i="3"/>
  <c r="X72" i="3"/>
  <c r="U72" i="3"/>
  <c r="R72" i="3"/>
  <c r="O72" i="3"/>
  <c r="L72" i="3"/>
  <c r="J72" i="3"/>
  <c r="I72" i="3"/>
  <c r="AA71" i="3"/>
  <c r="AD71" i="3" s="1"/>
  <c r="Z71" i="3"/>
  <c r="X71" i="3"/>
  <c r="U71" i="3"/>
  <c r="R71" i="3"/>
  <c r="O71" i="3"/>
  <c r="L71" i="3"/>
  <c r="J71" i="3"/>
  <c r="I71" i="3"/>
  <c r="AA70" i="3"/>
  <c r="Z70" i="3"/>
  <c r="Z74" i="3" s="1"/>
  <c r="X70" i="3"/>
  <c r="U70" i="3"/>
  <c r="R70" i="3"/>
  <c r="O70" i="3"/>
  <c r="L70" i="3"/>
  <c r="J70" i="3"/>
  <c r="I70" i="3"/>
  <c r="AB68" i="3"/>
  <c r="H68" i="3"/>
  <c r="I68" i="3" s="1"/>
  <c r="G68" i="3"/>
  <c r="AA67" i="3"/>
  <c r="AD67" i="3" s="1"/>
  <c r="Z67" i="3"/>
  <c r="X67" i="3"/>
  <c r="U67" i="3"/>
  <c r="R67" i="3"/>
  <c r="O67" i="3"/>
  <c r="L67" i="3"/>
  <c r="J67" i="3"/>
  <c r="I67" i="3"/>
  <c r="AA66" i="3"/>
  <c r="AD66" i="3" s="1"/>
  <c r="Z66" i="3"/>
  <c r="X66" i="3"/>
  <c r="U66" i="3"/>
  <c r="R66" i="3"/>
  <c r="O66" i="3"/>
  <c r="L66" i="3"/>
  <c r="J66" i="3"/>
  <c r="I66" i="3"/>
  <c r="AA65" i="3"/>
  <c r="AD65" i="3" s="1"/>
  <c r="Z65" i="3"/>
  <c r="X65" i="3"/>
  <c r="U65" i="3"/>
  <c r="R65" i="3"/>
  <c r="O65" i="3"/>
  <c r="L65" i="3"/>
  <c r="J65" i="3"/>
  <c r="I65" i="3"/>
  <c r="AA64" i="3"/>
  <c r="Z64" i="3"/>
  <c r="Z68" i="3" s="1"/>
  <c r="X64" i="3"/>
  <c r="U64" i="3"/>
  <c r="R64" i="3"/>
  <c r="O64" i="3"/>
  <c r="L64" i="3"/>
  <c r="J64" i="3"/>
  <c r="I64" i="3"/>
  <c r="AB62" i="3"/>
  <c r="H62" i="3"/>
  <c r="I62" i="3" s="1"/>
  <c r="G62" i="3"/>
  <c r="AA61" i="3"/>
  <c r="AD61" i="3" s="1"/>
  <c r="Z61" i="3"/>
  <c r="X61" i="3"/>
  <c r="U61" i="3"/>
  <c r="R61" i="3"/>
  <c r="O61" i="3"/>
  <c r="L61" i="3"/>
  <c r="J61" i="3"/>
  <c r="I61" i="3"/>
  <c r="AA60" i="3"/>
  <c r="AD60" i="3" s="1"/>
  <c r="Z60" i="3"/>
  <c r="X60" i="3"/>
  <c r="U60" i="3"/>
  <c r="R60" i="3"/>
  <c r="O60" i="3"/>
  <c r="L60" i="3"/>
  <c r="J60" i="3"/>
  <c r="I60" i="3"/>
  <c r="AA59" i="3"/>
  <c r="AD59" i="3" s="1"/>
  <c r="Z59" i="3"/>
  <c r="X59" i="3"/>
  <c r="U59" i="3"/>
  <c r="R59" i="3"/>
  <c r="O59" i="3"/>
  <c r="L59" i="3"/>
  <c r="J59" i="3"/>
  <c r="I59" i="3"/>
  <c r="AA58" i="3"/>
  <c r="Z58" i="3"/>
  <c r="Z62" i="3" s="1"/>
  <c r="X58" i="3"/>
  <c r="U58" i="3"/>
  <c r="R58" i="3"/>
  <c r="O58" i="3"/>
  <c r="L58" i="3"/>
  <c r="J58" i="3"/>
  <c r="I58" i="3"/>
  <c r="AB56" i="3"/>
  <c r="H56" i="3"/>
  <c r="I56" i="3" s="1"/>
  <c r="G56" i="3"/>
  <c r="AA55" i="3"/>
  <c r="AD55" i="3" s="1"/>
  <c r="Z55" i="3"/>
  <c r="X55" i="3"/>
  <c r="U55" i="3"/>
  <c r="R55" i="3"/>
  <c r="O55" i="3"/>
  <c r="L55" i="3"/>
  <c r="J55" i="3"/>
  <c r="I55" i="3"/>
  <c r="AA54" i="3"/>
  <c r="AD54" i="3" s="1"/>
  <c r="Z54" i="3"/>
  <c r="X54" i="3"/>
  <c r="U54" i="3"/>
  <c r="R54" i="3"/>
  <c r="O54" i="3"/>
  <c r="L54" i="3"/>
  <c r="J54" i="3"/>
  <c r="I54" i="3"/>
  <c r="AA53" i="3"/>
  <c r="AD53" i="3" s="1"/>
  <c r="Z53" i="3"/>
  <c r="X53" i="3"/>
  <c r="U53" i="3"/>
  <c r="R53" i="3"/>
  <c r="O53" i="3"/>
  <c r="L53" i="3"/>
  <c r="J53" i="3"/>
  <c r="I53" i="3"/>
  <c r="AA52" i="3"/>
  <c r="Z52" i="3"/>
  <c r="Z56" i="3" s="1"/>
  <c r="X52" i="3"/>
  <c r="U52" i="3"/>
  <c r="R52" i="3"/>
  <c r="O52" i="3"/>
  <c r="L52" i="3"/>
  <c r="J52" i="3"/>
  <c r="I52" i="3"/>
  <c r="AB50" i="3"/>
  <c r="H50" i="3"/>
  <c r="I50" i="3" s="1"/>
  <c r="G50" i="3"/>
  <c r="AA49" i="3"/>
  <c r="AD49" i="3" s="1"/>
  <c r="Z49" i="3"/>
  <c r="X49" i="3"/>
  <c r="U49" i="3"/>
  <c r="R49" i="3"/>
  <c r="O49" i="3"/>
  <c r="L49" i="3"/>
  <c r="J49" i="3"/>
  <c r="I49" i="3"/>
  <c r="AA48" i="3"/>
  <c r="AD48" i="3" s="1"/>
  <c r="Z48" i="3"/>
  <c r="X48" i="3"/>
  <c r="U48" i="3"/>
  <c r="R48" i="3"/>
  <c r="O48" i="3"/>
  <c r="L48" i="3"/>
  <c r="J48" i="3"/>
  <c r="I48" i="3"/>
  <c r="AA47" i="3"/>
  <c r="AD47" i="3" s="1"/>
  <c r="Z47" i="3"/>
  <c r="X47" i="3"/>
  <c r="U47" i="3"/>
  <c r="R47" i="3"/>
  <c r="O47" i="3"/>
  <c r="L47" i="3"/>
  <c r="J47" i="3"/>
  <c r="I47" i="3"/>
  <c r="AA46" i="3"/>
  <c r="Z46" i="3"/>
  <c r="Z50" i="3" s="1"/>
  <c r="X46" i="3"/>
  <c r="U46" i="3"/>
  <c r="R46" i="3"/>
  <c r="O46" i="3"/>
  <c r="L46" i="3"/>
  <c r="J46" i="3"/>
  <c r="I46" i="3"/>
  <c r="AB44" i="3"/>
  <c r="H44" i="3"/>
  <c r="I44" i="3" s="1"/>
  <c r="G44" i="3"/>
  <c r="AA43" i="3"/>
  <c r="AD43" i="3" s="1"/>
  <c r="Z43" i="3"/>
  <c r="X43" i="3"/>
  <c r="U43" i="3"/>
  <c r="R43" i="3"/>
  <c r="O43" i="3"/>
  <c r="L43" i="3"/>
  <c r="J43" i="3"/>
  <c r="I43" i="3"/>
  <c r="AA42" i="3"/>
  <c r="AD42" i="3" s="1"/>
  <c r="Z42" i="3"/>
  <c r="X42" i="3"/>
  <c r="U42" i="3"/>
  <c r="R42" i="3"/>
  <c r="O42" i="3"/>
  <c r="L42" i="3"/>
  <c r="J42" i="3"/>
  <c r="I42" i="3"/>
  <c r="AA41" i="3"/>
  <c r="AD41" i="3" s="1"/>
  <c r="Z41" i="3"/>
  <c r="X41" i="3"/>
  <c r="U41" i="3"/>
  <c r="R41" i="3"/>
  <c r="O41" i="3"/>
  <c r="L41" i="3"/>
  <c r="J41" i="3"/>
  <c r="I41" i="3"/>
  <c r="AA40" i="3"/>
  <c r="Z40" i="3"/>
  <c r="Z44" i="3" s="1"/>
  <c r="X40" i="3"/>
  <c r="U40" i="3"/>
  <c r="R40" i="3"/>
  <c r="O40" i="3"/>
  <c r="L40" i="3"/>
  <c r="J40" i="3"/>
  <c r="I40" i="3"/>
  <c r="AB38" i="3"/>
  <c r="H38" i="3"/>
  <c r="I38" i="3" s="1"/>
  <c r="G38" i="3"/>
  <c r="AA37" i="3"/>
  <c r="AD37" i="3" s="1"/>
  <c r="Z37" i="3"/>
  <c r="X37" i="3"/>
  <c r="U37" i="3"/>
  <c r="R37" i="3"/>
  <c r="O37" i="3"/>
  <c r="L37" i="3"/>
  <c r="J37" i="3"/>
  <c r="I37" i="3"/>
  <c r="AA36" i="3"/>
  <c r="AD36" i="3" s="1"/>
  <c r="Z36" i="3"/>
  <c r="X36" i="3"/>
  <c r="U36" i="3"/>
  <c r="R36" i="3"/>
  <c r="O36" i="3"/>
  <c r="L36" i="3"/>
  <c r="J36" i="3"/>
  <c r="I36" i="3"/>
  <c r="AA35" i="3"/>
  <c r="AD35" i="3" s="1"/>
  <c r="Z35" i="3"/>
  <c r="X35" i="3"/>
  <c r="U35" i="3"/>
  <c r="R35" i="3"/>
  <c r="O35" i="3"/>
  <c r="L35" i="3"/>
  <c r="J35" i="3"/>
  <c r="I35" i="3"/>
  <c r="AA34" i="3"/>
  <c r="Z34" i="3"/>
  <c r="Z38" i="3" s="1"/>
  <c r="X34" i="3"/>
  <c r="U34" i="3"/>
  <c r="R34" i="3"/>
  <c r="O34" i="3"/>
  <c r="L34" i="3"/>
  <c r="J34" i="3"/>
  <c r="I34" i="3"/>
  <c r="AB32" i="3"/>
  <c r="H32" i="3"/>
  <c r="I32" i="3" s="1"/>
  <c r="G32" i="3"/>
  <c r="AA31" i="3"/>
  <c r="AD31" i="3" s="1"/>
  <c r="Z31" i="3"/>
  <c r="X31" i="3"/>
  <c r="U31" i="3"/>
  <c r="R31" i="3"/>
  <c r="O31" i="3"/>
  <c r="L31" i="3"/>
  <c r="J31" i="3"/>
  <c r="I31" i="3"/>
  <c r="AA30" i="3"/>
  <c r="AD30" i="3" s="1"/>
  <c r="Z30" i="3"/>
  <c r="X30" i="3"/>
  <c r="U30" i="3"/>
  <c r="R30" i="3"/>
  <c r="O30" i="3"/>
  <c r="L30" i="3"/>
  <c r="J30" i="3"/>
  <c r="I30" i="3"/>
  <c r="AA29" i="3"/>
  <c r="AD29" i="3" s="1"/>
  <c r="Z29" i="3"/>
  <c r="X29" i="3"/>
  <c r="U29" i="3"/>
  <c r="R29" i="3"/>
  <c r="O29" i="3"/>
  <c r="L29" i="3"/>
  <c r="J29" i="3"/>
  <c r="I29" i="3"/>
  <c r="AA28" i="3"/>
  <c r="Z28" i="3"/>
  <c r="Z32" i="3" s="1"/>
  <c r="X28" i="3"/>
  <c r="U28" i="3"/>
  <c r="R28" i="3"/>
  <c r="O28" i="3"/>
  <c r="L28" i="3"/>
  <c r="J28" i="3"/>
  <c r="I28" i="3"/>
  <c r="AB26" i="3"/>
  <c r="G26" i="3"/>
  <c r="I26" i="3" s="1"/>
  <c r="AA25" i="3"/>
  <c r="AD25" i="3" s="1"/>
  <c r="Z25" i="3"/>
  <c r="X25" i="3"/>
  <c r="U25" i="3"/>
  <c r="R25" i="3"/>
  <c r="O25" i="3"/>
  <c r="L25" i="3"/>
  <c r="J25" i="3"/>
  <c r="I25" i="3"/>
  <c r="AA24" i="3"/>
  <c r="AD24" i="3" s="1"/>
  <c r="Z24" i="3"/>
  <c r="X24" i="3"/>
  <c r="U24" i="3"/>
  <c r="R24" i="3"/>
  <c r="O24" i="3"/>
  <c r="L24" i="3"/>
  <c r="J24" i="3"/>
  <c r="I24" i="3"/>
  <c r="AA23" i="3"/>
  <c r="AD23" i="3" s="1"/>
  <c r="Z23" i="3"/>
  <c r="X23" i="3"/>
  <c r="U23" i="3"/>
  <c r="R23" i="3"/>
  <c r="O23" i="3"/>
  <c r="L23" i="3"/>
  <c r="J23" i="3"/>
  <c r="I23" i="3"/>
  <c r="AA22" i="3"/>
  <c r="Z22" i="3"/>
  <c r="Z26" i="3" s="1"/>
  <c r="X22" i="3"/>
  <c r="U22" i="3"/>
  <c r="R22" i="3"/>
  <c r="O22" i="3"/>
  <c r="L22" i="3"/>
  <c r="J22" i="3"/>
  <c r="I22" i="3"/>
  <c r="AB20" i="3"/>
  <c r="H20" i="3"/>
  <c r="I20" i="3" s="1"/>
  <c r="G20" i="3"/>
  <c r="AA19" i="3"/>
  <c r="AD19" i="3" s="1"/>
  <c r="Z19" i="3"/>
  <c r="X19" i="3"/>
  <c r="U19" i="3"/>
  <c r="R19" i="3"/>
  <c r="O19" i="3"/>
  <c r="L19" i="3"/>
  <c r="J19" i="3"/>
  <c r="I19" i="3"/>
  <c r="AA18" i="3"/>
  <c r="AD18" i="3" s="1"/>
  <c r="Z18" i="3"/>
  <c r="X18" i="3"/>
  <c r="U18" i="3"/>
  <c r="R18" i="3"/>
  <c r="O18" i="3"/>
  <c r="L18" i="3"/>
  <c r="J18" i="3"/>
  <c r="I18" i="3"/>
  <c r="AA17" i="3"/>
  <c r="AD17" i="3" s="1"/>
  <c r="Z17" i="3"/>
  <c r="X17" i="3"/>
  <c r="U17" i="3"/>
  <c r="R17" i="3"/>
  <c r="O17" i="3"/>
  <c r="L17" i="3"/>
  <c r="J17" i="3"/>
  <c r="I17" i="3"/>
  <c r="AA16" i="3"/>
  <c r="Z16" i="3"/>
  <c r="Z20" i="3" s="1"/>
  <c r="X16" i="3"/>
  <c r="U16" i="3"/>
  <c r="R16" i="3"/>
  <c r="O16" i="3"/>
  <c r="L16" i="3"/>
  <c r="J16" i="3"/>
  <c r="I16" i="3"/>
  <c r="H14" i="3"/>
  <c r="I14" i="3" s="1"/>
  <c r="G14" i="3"/>
  <c r="AB13" i="3"/>
  <c r="AA13" i="3"/>
  <c r="AD13" i="3" s="1"/>
  <c r="Z13" i="3"/>
  <c r="X13" i="3"/>
  <c r="U13" i="3"/>
  <c r="R13" i="3"/>
  <c r="O13" i="3"/>
  <c r="L13" i="3"/>
  <c r="J13" i="3"/>
  <c r="I13" i="3"/>
  <c r="AB12" i="3"/>
  <c r="AA12" i="3"/>
  <c r="AD12" i="3" s="1"/>
  <c r="Z12" i="3"/>
  <c r="X12" i="3"/>
  <c r="U12" i="3"/>
  <c r="R12" i="3"/>
  <c r="O12" i="3"/>
  <c r="L12" i="3"/>
  <c r="J12" i="3"/>
  <c r="I12" i="3"/>
  <c r="AB11" i="3"/>
  <c r="AA11" i="3"/>
  <c r="AD11" i="3" s="1"/>
  <c r="Z11" i="3"/>
  <c r="X11" i="3"/>
  <c r="U11" i="3"/>
  <c r="R11" i="3"/>
  <c r="O11" i="3"/>
  <c r="L11" i="3"/>
  <c r="J11" i="3"/>
  <c r="I11" i="3"/>
  <c r="AB10" i="3"/>
  <c r="AB14" i="3" s="1"/>
  <c r="AA10" i="3"/>
  <c r="Z10" i="3"/>
  <c r="Z14" i="3" s="1"/>
  <c r="X10" i="3"/>
  <c r="U10" i="3"/>
  <c r="R10" i="3"/>
  <c r="O10" i="3"/>
  <c r="L10" i="3"/>
  <c r="J10" i="3"/>
  <c r="I10" i="3"/>
  <c r="E52" i="2"/>
  <c r="D52" i="2"/>
  <c r="E51" i="2"/>
  <c r="D51" i="2"/>
  <c r="E50" i="2"/>
  <c r="D50" i="2"/>
  <c r="E49" i="2"/>
  <c r="D49" i="2"/>
  <c r="E48" i="2"/>
  <c r="D48" i="2"/>
  <c r="E38" i="2"/>
  <c r="D38" i="2"/>
  <c r="E37" i="2"/>
  <c r="D37" i="2"/>
  <c r="E36" i="2"/>
  <c r="D36" i="2"/>
  <c r="E35" i="2"/>
  <c r="D35" i="2"/>
  <c r="E25" i="2"/>
  <c r="D25" i="2"/>
  <c r="E24" i="2"/>
  <c r="D24" i="2"/>
  <c r="E23" i="2"/>
  <c r="D23" i="2"/>
  <c r="E22" i="2"/>
  <c r="D22" i="2"/>
  <c r="E21" i="2"/>
  <c r="D21" i="2"/>
  <c r="E20" i="2"/>
  <c r="D20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J39" i="1"/>
  <c r="I39" i="1"/>
  <c r="J38" i="1"/>
  <c r="I38" i="1"/>
  <c r="J37" i="1"/>
  <c r="I37" i="1"/>
  <c r="J36" i="1"/>
  <c r="I36" i="1"/>
  <c r="I40" i="1" s="1"/>
  <c r="J26" i="1"/>
  <c r="I26" i="1"/>
  <c r="K25" i="1"/>
  <c r="K24" i="1"/>
  <c r="H13" i="6" s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I42" i="11" l="1"/>
  <c r="U12" i="11"/>
  <c r="M5" i="6" s="1"/>
  <c r="T5" i="6" s="1"/>
  <c r="M25" i="1"/>
  <c r="R13" i="1"/>
  <c r="K22" i="2" s="1"/>
  <c r="O8" i="1"/>
  <c r="O16" i="1"/>
  <c r="O22" i="1"/>
  <c r="W77" i="12"/>
  <c r="Z77" i="12" s="1"/>
  <c r="N77" i="12"/>
  <c r="L77" i="12"/>
  <c r="K77" i="12"/>
  <c r="W76" i="12"/>
  <c r="Z76" i="12" s="1"/>
  <c r="N76" i="12"/>
  <c r="L76" i="12"/>
  <c r="K76" i="12"/>
  <c r="W75" i="12"/>
  <c r="Z75" i="12" s="1"/>
  <c r="L75" i="12"/>
  <c r="N74" i="12"/>
  <c r="N73" i="12"/>
  <c r="W71" i="12"/>
  <c r="Z71" i="12" s="1"/>
  <c r="K71" i="12"/>
  <c r="L69" i="12"/>
  <c r="N67" i="12"/>
  <c r="K66" i="12"/>
  <c r="K65" i="12"/>
  <c r="K64" i="12"/>
  <c r="Q12" i="11"/>
  <c r="Q18" i="11"/>
  <c r="Q23" i="11"/>
  <c r="Q27" i="11"/>
  <c r="O11" i="11"/>
  <c r="O17" i="11"/>
  <c r="O21" i="11"/>
  <c r="O27" i="11"/>
  <c r="L27" i="11"/>
  <c r="L26" i="11"/>
  <c r="U24" i="11"/>
  <c r="M23" i="11"/>
  <c r="X21" i="11"/>
  <c r="AA21" i="11" s="1"/>
  <c r="M20" i="11"/>
  <c r="X18" i="11"/>
  <c r="AA18" i="11" s="1"/>
  <c r="X17" i="11"/>
  <c r="AA17" i="11" s="1"/>
  <c r="L16" i="11"/>
  <c r="X14" i="11"/>
  <c r="AA14" i="11" s="1"/>
  <c r="U13" i="11"/>
  <c r="L12" i="11"/>
  <c r="X10" i="11"/>
  <c r="AA10" i="11" s="1"/>
  <c r="M24" i="1"/>
  <c r="F51" i="2" s="1"/>
  <c r="R8" i="1"/>
  <c r="K9" i="2" s="1"/>
  <c r="R16" i="1"/>
  <c r="K25" i="2" s="1"/>
  <c r="R23" i="1"/>
  <c r="O13" i="1"/>
  <c r="H22" i="2" s="1"/>
  <c r="O24" i="1"/>
  <c r="H51" i="2" s="1"/>
  <c r="N70" i="12"/>
  <c r="L70" i="12"/>
  <c r="K70" i="12"/>
  <c r="W69" i="12"/>
  <c r="Z69" i="12" s="1"/>
  <c r="K68" i="12"/>
  <c r="W64" i="12"/>
  <c r="Z64" i="12" s="1"/>
  <c r="Q9" i="11"/>
  <c r="Q14" i="11"/>
  <c r="Q19" i="11"/>
  <c r="Q24" i="11"/>
  <c r="O10" i="11"/>
  <c r="O15" i="11"/>
  <c r="O20" i="11"/>
  <c r="O25" i="11"/>
  <c r="X27" i="11"/>
  <c r="AA27" i="11" s="1"/>
  <c r="U26" i="11"/>
  <c r="M25" i="11"/>
  <c r="X23" i="11"/>
  <c r="X22" i="11"/>
  <c r="AA22" i="11" s="1"/>
  <c r="U21" i="11"/>
  <c r="W21" i="11" s="1"/>
  <c r="X20" i="11"/>
  <c r="AA20" i="11" s="1"/>
  <c r="M19" i="11"/>
  <c r="L18" i="11"/>
  <c r="U16" i="11"/>
  <c r="M15" i="11"/>
  <c r="M14" i="11"/>
  <c r="X11" i="11"/>
  <c r="AA11" i="11" s="1"/>
  <c r="U10" i="11"/>
  <c r="M21" i="1"/>
  <c r="F48" i="2" s="1"/>
  <c r="R14" i="1"/>
  <c r="R20" i="1"/>
  <c r="R24" i="1"/>
  <c r="K51" i="2" s="1"/>
  <c r="O10" i="1"/>
  <c r="H11" i="2" s="1"/>
  <c r="O17" i="1"/>
  <c r="H35" i="2" s="1"/>
  <c r="O6" i="1"/>
  <c r="L10" i="11"/>
  <c r="X9" i="11"/>
  <c r="AA9" i="11" s="1"/>
  <c r="U9" i="11"/>
  <c r="M9" i="11"/>
  <c r="L9" i="11"/>
  <c r="X8" i="11"/>
  <c r="U8" i="11"/>
  <c r="M8" i="11"/>
  <c r="L8" i="11"/>
  <c r="L7" i="1"/>
  <c r="L8" i="1"/>
  <c r="I3" i="6" s="1"/>
  <c r="J3" i="6" s="1"/>
  <c r="K3" i="6" s="1"/>
  <c r="L9" i="1"/>
  <c r="I4" i="6" s="1"/>
  <c r="J4" i="6" s="1"/>
  <c r="K4" i="6" s="1"/>
  <c r="L10" i="1"/>
  <c r="I5" i="6" s="1"/>
  <c r="J5" i="6" s="1"/>
  <c r="K5" i="6" s="1"/>
  <c r="L11" i="1"/>
  <c r="L12" i="1"/>
  <c r="I7" i="6" s="1"/>
  <c r="J7" i="6" s="1"/>
  <c r="K7" i="6" s="1"/>
  <c r="L13" i="1"/>
  <c r="L14" i="1"/>
  <c r="L15" i="1"/>
  <c r="I9" i="6" s="1"/>
  <c r="J9" i="6" s="1"/>
  <c r="K9" i="6" s="1"/>
  <c r="L16" i="1"/>
  <c r="I10" i="6" s="1"/>
  <c r="J10" i="6" s="1"/>
  <c r="K10" i="6" s="1"/>
  <c r="L17" i="1"/>
  <c r="L18" i="1"/>
  <c r="L19" i="1"/>
  <c r="L20" i="1"/>
  <c r="L21" i="1"/>
  <c r="L22" i="1"/>
  <c r="I12" i="6" s="1"/>
  <c r="J12" i="6" s="1"/>
  <c r="K12" i="6" s="1"/>
  <c r="L23" i="1"/>
  <c r="L24" i="1"/>
  <c r="I13" i="6" s="1"/>
  <c r="J13" i="6" s="1"/>
  <c r="K13" i="6" s="1"/>
  <c r="L25" i="1"/>
  <c r="I15" i="6" s="1"/>
  <c r="J15" i="6" s="1"/>
  <c r="K15" i="6" s="1"/>
  <c r="L6" i="1"/>
  <c r="M7" i="1"/>
  <c r="F8" i="2" s="1"/>
  <c r="M8" i="1"/>
  <c r="F9" i="2" s="1"/>
  <c r="M9" i="1"/>
  <c r="M10" i="1"/>
  <c r="F11" i="2" s="1"/>
  <c r="M11" i="1"/>
  <c r="F20" i="2" s="1"/>
  <c r="M12" i="1"/>
  <c r="M13" i="1"/>
  <c r="F22" i="2" s="1"/>
  <c r="M14" i="1"/>
  <c r="F23" i="2" s="1"/>
  <c r="M15" i="1"/>
  <c r="F24" i="2" s="1"/>
  <c r="M16" i="1"/>
  <c r="F25" i="2" s="1"/>
  <c r="M17" i="1"/>
  <c r="F35" i="2" s="1"/>
  <c r="M18" i="1"/>
  <c r="F36" i="2" s="1"/>
  <c r="M6" i="1"/>
  <c r="F7" i="2" s="1"/>
  <c r="R10" i="1"/>
  <c r="K11" i="2" s="1"/>
  <c r="R18" i="1"/>
  <c r="R6" i="1"/>
  <c r="K7" i="2" s="1"/>
  <c r="O15" i="1"/>
  <c r="O20" i="1"/>
  <c r="H38" i="2" s="1"/>
  <c r="T64" i="12"/>
  <c r="T66" i="12"/>
  <c r="V66" i="12" s="1"/>
  <c r="T69" i="12"/>
  <c r="V69" i="12" s="1"/>
  <c r="T76" i="12"/>
  <c r="V76" i="12" s="1"/>
  <c r="W73" i="12"/>
  <c r="K73" i="12"/>
  <c r="L72" i="12"/>
  <c r="N71" i="12"/>
  <c r="W68" i="12"/>
  <c r="L68" i="12"/>
  <c r="L67" i="12"/>
  <c r="L66" i="12"/>
  <c r="L65" i="12"/>
  <c r="L64" i="12"/>
  <c r="Q13" i="11"/>
  <c r="Q17" i="11"/>
  <c r="Q22" i="11"/>
  <c r="Q26" i="11"/>
  <c r="O12" i="11"/>
  <c r="O16" i="11"/>
  <c r="O22" i="11"/>
  <c r="O26" i="11"/>
  <c r="M27" i="11"/>
  <c r="X25" i="11"/>
  <c r="AA25" i="11" s="1"/>
  <c r="M24" i="11"/>
  <c r="L23" i="11"/>
  <c r="L22" i="11"/>
  <c r="U20" i="11"/>
  <c r="W20" i="11" s="1"/>
  <c r="L19" i="11"/>
  <c r="U17" i="11"/>
  <c r="W17" i="11" s="1"/>
  <c r="M16" i="11"/>
  <c r="L15" i="11"/>
  <c r="M13" i="11"/>
  <c r="M12" i="11"/>
  <c r="M10" i="11"/>
  <c r="M23" i="1"/>
  <c r="F50" i="2" s="1"/>
  <c r="R7" i="1"/>
  <c r="R15" i="1"/>
  <c r="K24" i="2" s="1"/>
  <c r="R21" i="1"/>
  <c r="K48" i="2" s="1"/>
  <c r="O11" i="1"/>
  <c r="H20" i="2" s="1"/>
  <c r="O19" i="1"/>
  <c r="H37" i="2" s="1"/>
  <c r="O25" i="1"/>
  <c r="T65" i="12"/>
  <c r="V65" i="12" s="1"/>
  <c r="T67" i="12"/>
  <c r="V67" i="12" s="1"/>
  <c r="T75" i="12"/>
  <c r="V75" i="12" s="1"/>
  <c r="N75" i="12"/>
  <c r="W74" i="12"/>
  <c r="Z74" i="12" s="1"/>
  <c r="K74" i="12"/>
  <c r="L73" i="12"/>
  <c r="N72" i="12"/>
  <c r="W70" i="12"/>
  <c r="Z70" i="12" s="1"/>
  <c r="K69" i="12"/>
  <c r="W67" i="12"/>
  <c r="Z67" i="12" s="1"/>
  <c r="W66" i="12"/>
  <c r="Z66" i="12" s="1"/>
  <c r="W65" i="12"/>
  <c r="Z65" i="12" s="1"/>
  <c r="Q10" i="11"/>
  <c r="Q15" i="11"/>
  <c r="Q21" i="11"/>
  <c r="Q25" i="11"/>
  <c r="O9" i="11"/>
  <c r="O14" i="11"/>
  <c r="O19" i="11"/>
  <c r="O24" i="11"/>
  <c r="U27" i="11"/>
  <c r="M15" i="6" s="1"/>
  <c r="T15" i="6" s="1"/>
  <c r="M26" i="11"/>
  <c r="L25" i="11"/>
  <c r="L24" i="11"/>
  <c r="U22" i="11"/>
  <c r="W22" i="11" s="1"/>
  <c r="M21" i="11"/>
  <c r="L20" i="11"/>
  <c r="U19" i="11"/>
  <c r="M18" i="11"/>
  <c r="L17" i="11"/>
  <c r="X15" i="11"/>
  <c r="AA15" i="11" s="1"/>
  <c r="U14" i="11"/>
  <c r="X12" i="11"/>
  <c r="AA12" i="11" s="1"/>
  <c r="M11" i="11"/>
  <c r="M22" i="1"/>
  <c r="R12" i="1"/>
  <c r="R22" i="1"/>
  <c r="O12" i="1"/>
  <c r="O23" i="1"/>
  <c r="H50" i="2" s="1"/>
  <c r="M17" i="11"/>
  <c r="Z17" i="11" s="1"/>
  <c r="L14" i="11"/>
  <c r="L11" i="11"/>
  <c r="M20" i="1"/>
  <c r="F38" i="2" s="1"/>
  <c r="R9" i="1"/>
  <c r="R19" i="1"/>
  <c r="R25" i="1"/>
  <c r="O15" i="6" s="1"/>
  <c r="O9" i="1"/>
  <c r="O18" i="1"/>
  <c r="H36" i="2" s="1"/>
  <c r="T68" i="12"/>
  <c r="T70" i="12"/>
  <c r="V70" i="12" s="1"/>
  <c r="T71" i="12"/>
  <c r="V71" i="12" s="1"/>
  <c r="T72" i="12"/>
  <c r="V72" i="12" s="1"/>
  <c r="T73" i="12"/>
  <c r="T74" i="12"/>
  <c r="V74" i="12" s="1"/>
  <c r="T77" i="12"/>
  <c r="V77" i="12" s="1"/>
  <c r="K75" i="12"/>
  <c r="L74" i="12"/>
  <c r="W72" i="12"/>
  <c r="Z72" i="12" s="1"/>
  <c r="K72" i="12"/>
  <c r="L71" i="12"/>
  <c r="N69" i="12"/>
  <c r="N68" i="12"/>
  <c r="K67" i="12"/>
  <c r="N66" i="12"/>
  <c r="N65" i="12"/>
  <c r="N64" i="12"/>
  <c r="Q11" i="11"/>
  <c r="Q16" i="11"/>
  <c r="Q20" i="11"/>
  <c r="Q8" i="11"/>
  <c r="O13" i="11"/>
  <c r="O18" i="11"/>
  <c r="O23" i="11"/>
  <c r="O8" i="11"/>
  <c r="X26" i="11"/>
  <c r="AA26" i="11" s="1"/>
  <c r="U25" i="11"/>
  <c r="X24" i="11"/>
  <c r="AA24" i="11" s="1"/>
  <c r="U23" i="11"/>
  <c r="M22" i="11"/>
  <c r="L21" i="11"/>
  <c r="X19" i="11"/>
  <c r="U18" i="11"/>
  <c r="X16" i="11"/>
  <c r="AA16" i="11" s="1"/>
  <c r="U15" i="11"/>
  <c r="W15" i="11" s="1"/>
  <c r="X13" i="11"/>
  <c r="L13" i="11"/>
  <c r="U11" i="11"/>
  <c r="M4" i="6" s="1"/>
  <c r="T4" i="6" s="1"/>
  <c r="M19" i="1"/>
  <c r="F37" i="2" s="1"/>
  <c r="R11" i="1"/>
  <c r="R17" i="1"/>
  <c r="K35" i="2" s="1"/>
  <c r="O7" i="1"/>
  <c r="H8" i="2" s="1"/>
  <c r="O14" i="1"/>
  <c r="H23" i="2" s="1"/>
  <c r="O21" i="1"/>
  <c r="H48" i="2" s="1"/>
  <c r="G15" i="6"/>
  <c r="F15" i="6"/>
  <c r="F12" i="6"/>
  <c r="G10" i="6"/>
  <c r="G9" i="6"/>
  <c r="G7" i="6"/>
  <c r="G6" i="6"/>
  <c r="G5" i="6"/>
  <c r="G3" i="6"/>
  <c r="F2" i="6"/>
  <c r="G2" i="6"/>
  <c r="F10" i="6"/>
  <c r="F9" i="6"/>
  <c r="F7" i="6"/>
  <c r="F6" i="6"/>
  <c r="F5" i="6"/>
  <c r="Q5" i="6"/>
  <c r="F3" i="6"/>
  <c r="H87" i="12"/>
  <c r="G16" i="12"/>
  <c r="D16" i="12"/>
  <c r="J86" i="12"/>
  <c r="J85" i="12"/>
  <c r="J78" i="12"/>
  <c r="I16" i="12" s="1"/>
  <c r="I87" i="12"/>
  <c r="J87" i="12" s="1"/>
  <c r="J84" i="12"/>
  <c r="H15" i="6"/>
  <c r="H14" i="6"/>
  <c r="H12" i="6"/>
  <c r="H11" i="6"/>
  <c r="H10" i="6"/>
  <c r="H9" i="6"/>
  <c r="H7" i="6"/>
  <c r="H6" i="6"/>
  <c r="H5" i="6"/>
  <c r="H4" i="6"/>
  <c r="H3" i="6"/>
  <c r="H2" i="6"/>
  <c r="O11" i="6"/>
  <c r="O14" i="6"/>
  <c r="K40" i="11"/>
  <c r="K41" i="11"/>
  <c r="K39" i="11"/>
  <c r="K28" i="11"/>
  <c r="J42" i="11"/>
  <c r="K42" i="11" s="1"/>
  <c r="K38" i="11"/>
  <c r="W12" i="11"/>
  <c r="T25" i="1"/>
  <c r="N25" i="1"/>
  <c r="I11" i="6"/>
  <c r="J11" i="6" s="1"/>
  <c r="K11" i="6" s="1"/>
  <c r="I14" i="6"/>
  <c r="J14" i="6" s="1"/>
  <c r="K14" i="6" s="1"/>
  <c r="N11" i="6"/>
  <c r="N14" i="6"/>
  <c r="F52" i="2"/>
  <c r="H25" i="2"/>
  <c r="H9" i="2"/>
  <c r="K39" i="1"/>
  <c r="K38" i="1"/>
  <c r="K37" i="1"/>
  <c r="K26" i="1"/>
  <c r="I128" i="3"/>
  <c r="H129" i="3"/>
  <c r="I129" i="3" s="1"/>
  <c r="W127" i="3"/>
  <c r="Y127" i="3" s="1"/>
  <c r="T127" i="3"/>
  <c r="V127" i="3" s="1"/>
  <c r="N127" i="3"/>
  <c r="P127" i="3" s="1"/>
  <c r="Q127" i="3"/>
  <c r="S127" i="3" s="1"/>
  <c r="K127" i="3"/>
  <c r="M127" i="3" s="1"/>
  <c r="AC127" i="3"/>
  <c r="AE127" i="3" s="1"/>
  <c r="AC126" i="3"/>
  <c r="AE126" i="3" s="1"/>
  <c r="Q126" i="3"/>
  <c r="S126" i="3" s="1"/>
  <c r="K126" i="3"/>
  <c r="M126" i="3" s="1"/>
  <c r="W126" i="3"/>
  <c r="Y126" i="3" s="1"/>
  <c r="N126" i="3"/>
  <c r="P126" i="3" s="1"/>
  <c r="T126" i="3"/>
  <c r="V126" i="3" s="1"/>
  <c r="K125" i="3"/>
  <c r="M125" i="3" s="1"/>
  <c r="T125" i="3"/>
  <c r="V125" i="3" s="1"/>
  <c r="Q125" i="3"/>
  <c r="S125" i="3" s="1"/>
  <c r="N125" i="3"/>
  <c r="P125" i="3" s="1"/>
  <c r="W125" i="3"/>
  <c r="Y125" i="3" s="1"/>
  <c r="AC125" i="3"/>
  <c r="AE125" i="3" s="1"/>
  <c r="AA128" i="3"/>
  <c r="AD124" i="3"/>
  <c r="X128" i="3"/>
  <c r="U128" i="3"/>
  <c r="R128" i="3"/>
  <c r="O128" i="3"/>
  <c r="L128" i="3"/>
  <c r="W124" i="3"/>
  <c r="T124" i="3"/>
  <c r="J128" i="3"/>
  <c r="AC124" i="3"/>
  <c r="AC128" i="3" s="1"/>
  <c r="N124" i="3"/>
  <c r="Q124" i="3"/>
  <c r="K124" i="3"/>
  <c r="T121" i="3"/>
  <c r="V121" i="3" s="1"/>
  <c r="AC121" i="3"/>
  <c r="AE121" i="3" s="1"/>
  <c r="W121" i="3"/>
  <c r="Y121" i="3" s="1"/>
  <c r="Q121" i="3"/>
  <c r="S121" i="3" s="1"/>
  <c r="N121" i="3"/>
  <c r="P121" i="3" s="1"/>
  <c r="K121" i="3"/>
  <c r="M121" i="3" s="1"/>
  <c r="T120" i="3"/>
  <c r="V120" i="3" s="1"/>
  <c r="N120" i="3"/>
  <c r="P120" i="3" s="1"/>
  <c r="K120" i="3"/>
  <c r="M120" i="3" s="1"/>
  <c r="Q120" i="3"/>
  <c r="S120" i="3" s="1"/>
  <c r="W120" i="3"/>
  <c r="Y120" i="3" s="1"/>
  <c r="AC120" i="3"/>
  <c r="AE120" i="3" s="1"/>
  <c r="AC119" i="3"/>
  <c r="AE119" i="3" s="1"/>
  <c r="T119" i="3"/>
  <c r="V119" i="3" s="1"/>
  <c r="N119" i="3"/>
  <c r="P119" i="3" s="1"/>
  <c r="Q119" i="3"/>
  <c r="S119" i="3" s="1"/>
  <c r="W119" i="3"/>
  <c r="Y119" i="3" s="1"/>
  <c r="K119" i="3"/>
  <c r="M119" i="3" s="1"/>
  <c r="AA122" i="3"/>
  <c r="AD118" i="3"/>
  <c r="X122" i="3"/>
  <c r="U122" i="3"/>
  <c r="R122" i="3"/>
  <c r="O122" i="3"/>
  <c r="L122" i="3"/>
  <c r="K118" i="3"/>
  <c r="Q118" i="3"/>
  <c r="J122" i="3"/>
  <c r="W118" i="3"/>
  <c r="AC118" i="3"/>
  <c r="AC122" i="3" s="1"/>
  <c r="N118" i="3"/>
  <c r="T118" i="3"/>
  <c r="T115" i="3"/>
  <c r="V115" i="3" s="1"/>
  <c r="K115" i="3"/>
  <c r="M115" i="3" s="1"/>
  <c r="W115" i="3"/>
  <c r="Y115" i="3" s="1"/>
  <c r="N115" i="3"/>
  <c r="P115" i="3" s="1"/>
  <c r="Q115" i="3"/>
  <c r="S115" i="3" s="1"/>
  <c r="AC115" i="3"/>
  <c r="AE115" i="3" s="1"/>
  <c r="K114" i="3"/>
  <c r="M114" i="3" s="1"/>
  <c r="T114" i="3"/>
  <c r="V114" i="3" s="1"/>
  <c r="AC114" i="3"/>
  <c r="AE114" i="3" s="1"/>
  <c r="Q114" i="3"/>
  <c r="S114" i="3" s="1"/>
  <c r="N114" i="3"/>
  <c r="P114" i="3" s="1"/>
  <c r="W114" i="3"/>
  <c r="Y114" i="3" s="1"/>
  <c r="K113" i="3"/>
  <c r="M113" i="3" s="1"/>
  <c r="N113" i="3"/>
  <c r="P113" i="3" s="1"/>
  <c r="W113" i="3"/>
  <c r="Y113" i="3" s="1"/>
  <c r="T113" i="3"/>
  <c r="V113" i="3" s="1"/>
  <c r="AC113" i="3"/>
  <c r="AE113" i="3" s="1"/>
  <c r="Q113" i="3"/>
  <c r="S113" i="3" s="1"/>
  <c r="AD112" i="3"/>
  <c r="AA116" i="3"/>
  <c r="X116" i="3"/>
  <c r="U116" i="3"/>
  <c r="R116" i="3"/>
  <c r="O116" i="3"/>
  <c r="L116" i="3"/>
  <c r="K112" i="3"/>
  <c r="Q112" i="3"/>
  <c r="N112" i="3"/>
  <c r="T112" i="3"/>
  <c r="AC112" i="3"/>
  <c r="AC116" i="3" s="1"/>
  <c r="J116" i="3"/>
  <c r="W112" i="3"/>
  <c r="T109" i="3"/>
  <c r="V109" i="3" s="1"/>
  <c r="N109" i="3"/>
  <c r="P109" i="3" s="1"/>
  <c r="AC109" i="3"/>
  <c r="AE109" i="3" s="1"/>
  <c r="K109" i="3"/>
  <c r="M109" i="3" s="1"/>
  <c r="Q109" i="3"/>
  <c r="S109" i="3" s="1"/>
  <c r="W109" i="3"/>
  <c r="Y109" i="3" s="1"/>
  <c r="N108" i="3"/>
  <c r="P108" i="3" s="1"/>
  <c r="W108" i="3"/>
  <c r="Y108" i="3" s="1"/>
  <c r="AC108" i="3"/>
  <c r="AE108" i="3" s="1"/>
  <c r="Q108" i="3"/>
  <c r="S108" i="3" s="1"/>
  <c r="T108" i="3"/>
  <c r="V108" i="3" s="1"/>
  <c r="K108" i="3"/>
  <c r="M108" i="3" s="1"/>
  <c r="K107" i="3"/>
  <c r="M107" i="3" s="1"/>
  <c r="AC107" i="3"/>
  <c r="AE107" i="3" s="1"/>
  <c r="T107" i="3"/>
  <c r="V107" i="3" s="1"/>
  <c r="Q107" i="3"/>
  <c r="S107" i="3" s="1"/>
  <c r="W107" i="3"/>
  <c r="Y107" i="3" s="1"/>
  <c r="N107" i="3"/>
  <c r="P107" i="3" s="1"/>
  <c r="AD106" i="3"/>
  <c r="AA110" i="3"/>
  <c r="X110" i="3"/>
  <c r="U110" i="3"/>
  <c r="R110" i="3"/>
  <c r="O110" i="3"/>
  <c r="L110" i="3"/>
  <c r="Q106" i="3"/>
  <c r="S106" i="3" s="1"/>
  <c r="J110" i="3"/>
  <c r="N106" i="3"/>
  <c r="P106" i="3" s="1"/>
  <c r="T106" i="3"/>
  <c r="V106" i="3" s="1"/>
  <c r="K106" i="3"/>
  <c r="M106" i="3" s="1"/>
  <c r="AC106" i="3"/>
  <c r="W106" i="3"/>
  <c r="Y106" i="3" s="1"/>
  <c r="AC103" i="3"/>
  <c r="AE103" i="3" s="1"/>
  <c r="Q103" i="3"/>
  <c r="S103" i="3" s="1"/>
  <c r="T103" i="3"/>
  <c r="V103" i="3" s="1"/>
  <c r="K103" i="3"/>
  <c r="M103" i="3" s="1"/>
  <c r="W103" i="3"/>
  <c r="Y103" i="3" s="1"/>
  <c r="N103" i="3"/>
  <c r="P103" i="3" s="1"/>
  <c r="T102" i="3"/>
  <c r="V102" i="3" s="1"/>
  <c r="Q102" i="3"/>
  <c r="S102" i="3" s="1"/>
  <c r="N102" i="3"/>
  <c r="P102" i="3" s="1"/>
  <c r="AC102" i="3"/>
  <c r="AE102" i="3" s="1"/>
  <c r="W102" i="3"/>
  <c r="Y102" i="3" s="1"/>
  <c r="K102" i="3"/>
  <c r="M102" i="3" s="1"/>
  <c r="K101" i="3"/>
  <c r="M101" i="3" s="1"/>
  <c r="Q101" i="3"/>
  <c r="S101" i="3" s="1"/>
  <c r="AC101" i="3"/>
  <c r="AE101" i="3" s="1"/>
  <c r="N101" i="3"/>
  <c r="P101" i="3" s="1"/>
  <c r="W101" i="3"/>
  <c r="Y101" i="3" s="1"/>
  <c r="T101" i="3"/>
  <c r="V101" i="3" s="1"/>
  <c r="AA104" i="3"/>
  <c r="AD100" i="3"/>
  <c r="X104" i="3"/>
  <c r="U104" i="3"/>
  <c r="R104" i="3"/>
  <c r="O104" i="3"/>
  <c r="L104" i="3"/>
  <c r="K100" i="3"/>
  <c r="T100" i="3"/>
  <c r="AC100" i="3"/>
  <c r="AC104" i="3" s="1"/>
  <c r="Q100" i="3"/>
  <c r="J104" i="3"/>
  <c r="N100" i="3"/>
  <c r="W100" i="3"/>
  <c r="W97" i="3"/>
  <c r="Y97" i="3" s="1"/>
  <c r="K97" i="3"/>
  <c r="M97" i="3" s="1"/>
  <c r="AC97" i="3"/>
  <c r="AE97" i="3" s="1"/>
  <c r="Q97" i="3"/>
  <c r="S97" i="3" s="1"/>
  <c r="N97" i="3"/>
  <c r="P97" i="3" s="1"/>
  <c r="T97" i="3"/>
  <c r="V97" i="3" s="1"/>
  <c r="N96" i="3"/>
  <c r="P96" i="3" s="1"/>
  <c r="AC96" i="3"/>
  <c r="AE96" i="3" s="1"/>
  <c r="T96" i="3"/>
  <c r="V96" i="3" s="1"/>
  <c r="Q96" i="3"/>
  <c r="S96" i="3" s="1"/>
  <c r="K96" i="3"/>
  <c r="M96" i="3" s="1"/>
  <c r="W96" i="3"/>
  <c r="Y96" i="3" s="1"/>
  <c r="AC95" i="3"/>
  <c r="AE95" i="3" s="1"/>
  <c r="W95" i="3"/>
  <c r="Y95" i="3" s="1"/>
  <c r="K95" i="3"/>
  <c r="M95" i="3" s="1"/>
  <c r="Q95" i="3"/>
  <c r="S95" i="3" s="1"/>
  <c r="T95" i="3"/>
  <c r="V95" i="3" s="1"/>
  <c r="N95" i="3"/>
  <c r="P95" i="3" s="1"/>
  <c r="AD94" i="3"/>
  <c r="AA98" i="3"/>
  <c r="X98" i="3"/>
  <c r="U98" i="3"/>
  <c r="O98" i="3"/>
  <c r="L98" i="3"/>
  <c r="N94" i="3"/>
  <c r="T94" i="3"/>
  <c r="Q94" i="3"/>
  <c r="K94" i="3"/>
  <c r="AC94" i="3"/>
  <c r="AC98" i="3" s="1"/>
  <c r="W94" i="3"/>
  <c r="J98" i="3"/>
  <c r="T91" i="3"/>
  <c r="V91" i="3" s="1"/>
  <c r="K91" i="3"/>
  <c r="M91" i="3" s="1"/>
  <c r="Q91" i="3"/>
  <c r="S91" i="3" s="1"/>
  <c r="AC91" i="3"/>
  <c r="AE91" i="3" s="1"/>
  <c r="W91" i="3"/>
  <c r="Y91" i="3" s="1"/>
  <c r="N91" i="3"/>
  <c r="P91" i="3" s="1"/>
  <c r="W90" i="3"/>
  <c r="Y90" i="3" s="1"/>
  <c r="K90" i="3"/>
  <c r="M90" i="3" s="1"/>
  <c r="AC90" i="3"/>
  <c r="AE90" i="3" s="1"/>
  <c r="Q90" i="3"/>
  <c r="S90" i="3" s="1"/>
  <c r="N90" i="3"/>
  <c r="P90" i="3" s="1"/>
  <c r="T90" i="3"/>
  <c r="V90" i="3" s="1"/>
  <c r="Q89" i="3"/>
  <c r="S89" i="3" s="1"/>
  <c r="N89" i="3"/>
  <c r="P89" i="3" s="1"/>
  <c r="W89" i="3"/>
  <c r="Y89" i="3" s="1"/>
  <c r="K89" i="3"/>
  <c r="M89" i="3" s="1"/>
  <c r="T89" i="3"/>
  <c r="V89" i="3" s="1"/>
  <c r="AC89" i="3"/>
  <c r="AE89" i="3" s="1"/>
  <c r="AD88" i="3"/>
  <c r="AA92" i="3"/>
  <c r="X92" i="3"/>
  <c r="U92" i="3"/>
  <c r="R92" i="3"/>
  <c r="O92" i="3"/>
  <c r="L92" i="3"/>
  <c r="K88" i="3"/>
  <c r="M88" i="3" s="1"/>
  <c r="N88" i="3"/>
  <c r="P88" i="3" s="1"/>
  <c r="T88" i="3"/>
  <c r="V88" i="3" s="1"/>
  <c r="Q88" i="3"/>
  <c r="S88" i="3" s="1"/>
  <c r="W88" i="3"/>
  <c r="Y88" i="3" s="1"/>
  <c r="J92" i="3"/>
  <c r="AC88" i="3"/>
  <c r="K85" i="3"/>
  <c r="M85" i="3" s="1"/>
  <c r="Q85" i="3"/>
  <c r="S85" i="3" s="1"/>
  <c r="N85" i="3"/>
  <c r="P85" i="3" s="1"/>
  <c r="T85" i="3"/>
  <c r="V85" i="3" s="1"/>
  <c r="AC85" i="3"/>
  <c r="AE85" i="3" s="1"/>
  <c r="W85" i="3"/>
  <c r="Y85" i="3" s="1"/>
  <c r="Q84" i="3"/>
  <c r="S84" i="3" s="1"/>
  <c r="K84" i="3"/>
  <c r="M84" i="3" s="1"/>
  <c r="W84" i="3"/>
  <c r="Y84" i="3" s="1"/>
  <c r="N84" i="3"/>
  <c r="P84" i="3" s="1"/>
  <c r="T84" i="3"/>
  <c r="V84" i="3" s="1"/>
  <c r="AC84" i="3"/>
  <c r="AE84" i="3" s="1"/>
  <c r="W83" i="3"/>
  <c r="Y83" i="3" s="1"/>
  <c r="Q83" i="3"/>
  <c r="S83" i="3" s="1"/>
  <c r="K83" i="3"/>
  <c r="M83" i="3" s="1"/>
  <c r="T83" i="3"/>
  <c r="V83" i="3" s="1"/>
  <c r="AC83" i="3"/>
  <c r="AE83" i="3" s="1"/>
  <c r="N83" i="3"/>
  <c r="P83" i="3" s="1"/>
  <c r="AD82" i="3"/>
  <c r="AA86" i="3"/>
  <c r="X86" i="3"/>
  <c r="U86" i="3"/>
  <c r="R86" i="3"/>
  <c r="O86" i="3"/>
  <c r="L86" i="3"/>
  <c r="J86" i="3"/>
  <c r="N82" i="3"/>
  <c r="T82" i="3"/>
  <c r="Q82" i="3"/>
  <c r="AC82" i="3"/>
  <c r="AC86" i="3" s="1"/>
  <c r="W82" i="3"/>
  <c r="K82" i="3"/>
  <c r="Q79" i="3"/>
  <c r="S79" i="3" s="1"/>
  <c r="AC79" i="3"/>
  <c r="AE79" i="3" s="1"/>
  <c r="W79" i="3"/>
  <c r="Y79" i="3" s="1"/>
  <c r="N79" i="3"/>
  <c r="P79" i="3" s="1"/>
  <c r="K79" i="3"/>
  <c r="M79" i="3" s="1"/>
  <c r="T79" i="3"/>
  <c r="V79" i="3" s="1"/>
  <c r="K78" i="3"/>
  <c r="M78" i="3" s="1"/>
  <c r="T78" i="3"/>
  <c r="V78" i="3" s="1"/>
  <c r="N78" i="3"/>
  <c r="P78" i="3" s="1"/>
  <c r="AC78" i="3"/>
  <c r="AE78" i="3" s="1"/>
  <c r="W78" i="3"/>
  <c r="Y78" i="3" s="1"/>
  <c r="Q78" i="3"/>
  <c r="S78" i="3" s="1"/>
  <c r="AC77" i="3"/>
  <c r="AE77" i="3" s="1"/>
  <c r="Q77" i="3"/>
  <c r="S77" i="3" s="1"/>
  <c r="N77" i="3"/>
  <c r="P77" i="3" s="1"/>
  <c r="W77" i="3"/>
  <c r="Y77" i="3" s="1"/>
  <c r="T77" i="3"/>
  <c r="V77" i="3" s="1"/>
  <c r="K77" i="3"/>
  <c r="M77" i="3" s="1"/>
  <c r="AA80" i="3"/>
  <c r="AD76" i="3"/>
  <c r="X80" i="3"/>
  <c r="U80" i="3"/>
  <c r="R80" i="3"/>
  <c r="O80" i="3"/>
  <c r="L80" i="3"/>
  <c r="J80" i="3"/>
  <c r="K76" i="3"/>
  <c r="Q76" i="3"/>
  <c r="N76" i="3"/>
  <c r="AC76" i="3"/>
  <c r="AC80" i="3" s="1"/>
  <c r="W76" i="3"/>
  <c r="T76" i="3"/>
  <c r="W73" i="3"/>
  <c r="Y73" i="3" s="1"/>
  <c r="N73" i="3"/>
  <c r="P73" i="3" s="1"/>
  <c r="K73" i="3"/>
  <c r="M73" i="3" s="1"/>
  <c r="Q73" i="3"/>
  <c r="S73" i="3" s="1"/>
  <c r="T73" i="3"/>
  <c r="V73" i="3" s="1"/>
  <c r="AC73" i="3"/>
  <c r="AE73" i="3" s="1"/>
  <c r="K72" i="3"/>
  <c r="M72" i="3" s="1"/>
  <c r="AC72" i="3"/>
  <c r="AE72" i="3" s="1"/>
  <c r="T72" i="3"/>
  <c r="V72" i="3" s="1"/>
  <c r="W72" i="3"/>
  <c r="Y72" i="3" s="1"/>
  <c r="N72" i="3"/>
  <c r="P72" i="3" s="1"/>
  <c r="Q72" i="3"/>
  <c r="S72" i="3" s="1"/>
  <c r="K71" i="3"/>
  <c r="M71" i="3" s="1"/>
  <c r="AC71" i="3"/>
  <c r="AE71" i="3" s="1"/>
  <c r="T71" i="3"/>
  <c r="V71" i="3" s="1"/>
  <c r="W71" i="3"/>
  <c r="Y71" i="3" s="1"/>
  <c r="Q71" i="3"/>
  <c r="S71" i="3" s="1"/>
  <c r="N71" i="3"/>
  <c r="P71" i="3" s="1"/>
  <c r="AD70" i="3"/>
  <c r="AA74" i="3"/>
  <c r="X74" i="3"/>
  <c r="U74" i="3"/>
  <c r="R74" i="3"/>
  <c r="O74" i="3"/>
  <c r="L74" i="3"/>
  <c r="Q70" i="3"/>
  <c r="S70" i="3" s="1"/>
  <c r="N70" i="3"/>
  <c r="P70" i="3" s="1"/>
  <c r="T70" i="3"/>
  <c r="V70" i="3" s="1"/>
  <c r="J74" i="3"/>
  <c r="K70" i="3"/>
  <c r="M70" i="3" s="1"/>
  <c r="W70" i="3"/>
  <c r="Y70" i="3" s="1"/>
  <c r="AC70" i="3"/>
  <c r="N67" i="3"/>
  <c r="P67" i="3" s="1"/>
  <c r="W67" i="3"/>
  <c r="Y67" i="3" s="1"/>
  <c r="AC67" i="3"/>
  <c r="AE67" i="3" s="1"/>
  <c r="K67" i="3"/>
  <c r="M67" i="3" s="1"/>
  <c r="T67" i="3"/>
  <c r="V67" i="3" s="1"/>
  <c r="Q67" i="3"/>
  <c r="S67" i="3" s="1"/>
  <c r="W66" i="3"/>
  <c r="Y66" i="3" s="1"/>
  <c r="N66" i="3"/>
  <c r="P66" i="3" s="1"/>
  <c r="T66" i="3"/>
  <c r="V66" i="3" s="1"/>
  <c r="Q66" i="3"/>
  <c r="S66" i="3" s="1"/>
  <c r="AC66" i="3"/>
  <c r="AE66" i="3" s="1"/>
  <c r="K66" i="3"/>
  <c r="M66" i="3" s="1"/>
  <c r="N65" i="3"/>
  <c r="P65" i="3" s="1"/>
  <c r="W65" i="3"/>
  <c r="Y65" i="3" s="1"/>
  <c r="K65" i="3"/>
  <c r="M65" i="3" s="1"/>
  <c r="T65" i="3"/>
  <c r="V65" i="3" s="1"/>
  <c r="AC65" i="3"/>
  <c r="AE65" i="3" s="1"/>
  <c r="Q65" i="3"/>
  <c r="S65" i="3" s="1"/>
  <c r="AD64" i="3"/>
  <c r="AA68" i="3"/>
  <c r="X68" i="3"/>
  <c r="U68" i="3"/>
  <c r="R68" i="3"/>
  <c r="O68" i="3"/>
  <c r="L68" i="3"/>
  <c r="J68" i="3"/>
  <c r="AC64" i="3"/>
  <c r="AC68" i="3" s="1"/>
  <c r="N64" i="3"/>
  <c r="T64" i="3"/>
  <c r="K64" i="3"/>
  <c r="W64" i="3"/>
  <c r="Q64" i="3"/>
  <c r="Q61" i="3"/>
  <c r="S61" i="3" s="1"/>
  <c r="N61" i="3"/>
  <c r="P61" i="3" s="1"/>
  <c r="T61" i="3"/>
  <c r="V61" i="3" s="1"/>
  <c r="K61" i="3"/>
  <c r="M61" i="3" s="1"/>
  <c r="AC61" i="3"/>
  <c r="AE61" i="3" s="1"/>
  <c r="W61" i="3"/>
  <c r="Y61" i="3" s="1"/>
  <c r="Q60" i="3"/>
  <c r="S60" i="3" s="1"/>
  <c r="AC60" i="3"/>
  <c r="AE60" i="3" s="1"/>
  <c r="W60" i="3"/>
  <c r="Y60" i="3" s="1"/>
  <c r="T60" i="3"/>
  <c r="V60" i="3" s="1"/>
  <c r="K60" i="3"/>
  <c r="M60" i="3" s="1"/>
  <c r="N60" i="3"/>
  <c r="P60" i="3" s="1"/>
  <c r="N59" i="3"/>
  <c r="P59" i="3" s="1"/>
  <c r="AC59" i="3"/>
  <c r="AE59" i="3" s="1"/>
  <c r="W59" i="3"/>
  <c r="Y59" i="3" s="1"/>
  <c r="K59" i="3"/>
  <c r="M59" i="3" s="1"/>
  <c r="T59" i="3"/>
  <c r="V59" i="3" s="1"/>
  <c r="Q59" i="3"/>
  <c r="S59" i="3" s="1"/>
  <c r="AD58" i="3"/>
  <c r="AA62" i="3"/>
  <c r="X62" i="3"/>
  <c r="U62" i="3"/>
  <c r="R62" i="3"/>
  <c r="O62" i="3"/>
  <c r="L62" i="3"/>
  <c r="Q58" i="3"/>
  <c r="N58" i="3"/>
  <c r="T58" i="3"/>
  <c r="K58" i="3"/>
  <c r="W58" i="3"/>
  <c r="AC58" i="3"/>
  <c r="AC62" i="3" s="1"/>
  <c r="J62" i="3"/>
  <c r="K55" i="3"/>
  <c r="M55" i="3" s="1"/>
  <c r="AC55" i="3"/>
  <c r="AE55" i="3" s="1"/>
  <c r="W55" i="3"/>
  <c r="Y55" i="3" s="1"/>
  <c r="N55" i="3"/>
  <c r="P55" i="3" s="1"/>
  <c r="Q55" i="3"/>
  <c r="S55" i="3" s="1"/>
  <c r="T55" i="3"/>
  <c r="V55" i="3" s="1"/>
  <c r="Q54" i="3"/>
  <c r="S54" i="3" s="1"/>
  <c r="T54" i="3"/>
  <c r="V54" i="3" s="1"/>
  <c r="W54" i="3"/>
  <c r="Y54" i="3" s="1"/>
  <c r="N54" i="3"/>
  <c r="P54" i="3" s="1"/>
  <c r="K54" i="3"/>
  <c r="M54" i="3" s="1"/>
  <c r="AC54" i="3"/>
  <c r="AE54" i="3" s="1"/>
  <c r="K53" i="3"/>
  <c r="M53" i="3" s="1"/>
  <c r="T53" i="3"/>
  <c r="V53" i="3" s="1"/>
  <c r="N53" i="3"/>
  <c r="P53" i="3" s="1"/>
  <c r="W53" i="3"/>
  <c r="Y53" i="3" s="1"/>
  <c r="Q53" i="3"/>
  <c r="S53" i="3" s="1"/>
  <c r="AC53" i="3"/>
  <c r="AE53" i="3" s="1"/>
  <c r="AA56" i="3"/>
  <c r="AD52" i="3"/>
  <c r="X56" i="3"/>
  <c r="U56" i="3"/>
  <c r="R56" i="3"/>
  <c r="O56" i="3"/>
  <c r="L56" i="3"/>
  <c r="J56" i="3"/>
  <c r="N52" i="3"/>
  <c r="T52" i="3"/>
  <c r="Q52" i="3"/>
  <c r="W52" i="3"/>
  <c r="AC52" i="3"/>
  <c r="AC56" i="3" s="1"/>
  <c r="K52" i="3"/>
  <c r="W49" i="3"/>
  <c r="Y49" i="3" s="1"/>
  <c r="T49" i="3"/>
  <c r="V49" i="3" s="1"/>
  <c r="N49" i="3"/>
  <c r="P49" i="3" s="1"/>
  <c r="Q49" i="3"/>
  <c r="S49" i="3" s="1"/>
  <c r="K49" i="3"/>
  <c r="M49" i="3" s="1"/>
  <c r="AC49" i="3"/>
  <c r="AE49" i="3" s="1"/>
  <c r="AC48" i="3"/>
  <c r="AE48" i="3" s="1"/>
  <c r="Q48" i="3"/>
  <c r="S48" i="3" s="1"/>
  <c r="W48" i="3"/>
  <c r="Y48" i="3" s="1"/>
  <c r="T48" i="3"/>
  <c r="V48" i="3" s="1"/>
  <c r="N48" i="3"/>
  <c r="P48" i="3" s="1"/>
  <c r="K48" i="3"/>
  <c r="M48" i="3" s="1"/>
  <c r="AC47" i="3"/>
  <c r="AE47" i="3" s="1"/>
  <c r="N47" i="3"/>
  <c r="P47" i="3" s="1"/>
  <c r="T47" i="3"/>
  <c r="V47" i="3" s="1"/>
  <c r="K47" i="3"/>
  <c r="M47" i="3" s="1"/>
  <c r="Q47" i="3"/>
  <c r="S47" i="3" s="1"/>
  <c r="W47" i="3"/>
  <c r="Y47" i="3" s="1"/>
  <c r="AA50" i="3"/>
  <c r="AD46" i="3"/>
  <c r="X50" i="3"/>
  <c r="U50" i="3"/>
  <c r="R50" i="3"/>
  <c r="O50" i="3"/>
  <c r="L50" i="3"/>
  <c r="K46" i="3"/>
  <c r="W46" i="3"/>
  <c r="Y46" i="3" s="1"/>
  <c r="T46" i="3"/>
  <c r="J50" i="3"/>
  <c r="N46" i="3"/>
  <c r="AC46" i="3"/>
  <c r="AC50" i="3" s="1"/>
  <c r="Q46" i="3"/>
  <c r="AC43" i="3"/>
  <c r="AE43" i="3" s="1"/>
  <c r="N43" i="3"/>
  <c r="P43" i="3" s="1"/>
  <c r="K43" i="3"/>
  <c r="M43" i="3" s="1"/>
  <c r="Q43" i="3"/>
  <c r="S43" i="3" s="1"/>
  <c r="T43" i="3"/>
  <c r="V43" i="3" s="1"/>
  <c r="W43" i="3"/>
  <c r="Y43" i="3" s="1"/>
  <c r="K42" i="3"/>
  <c r="M42" i="3" s="1"/>
  <c r="Q42" i="3"/>
  <c r="S42" i="3" s="1"/>
  <c r="T42" i="3"/>
  <c r="V42" i="3" s="1"/>
  <c r="N42" i="3"/>
  <c r="P42" i="3" s="1"/>
  <c r="W42" i="3"/>
  <c r="Y42" i="3" s="1"/>
  <c r="AC42" i="3"/>
  <c r="AE42" i="3" s="1"/>
  <c r="Q41" i="3"/>
  <c r="S41" i="3" s="1"/>
  <c r="T41" i="3"/>
  <c r="V41" i="3" s="1"/>
  <c r="AC41" i="3"/>
  <c r="AE41" i="3" s="1"/>
  <c r="W41" i="3"/>
  <c r="Y41" i="3" s="1"/>
  <c r="N41" i="3"/>
  <c r="P41" i="3" s="1"/>
  <c r="K41" i="3"/>
  <c r="M41" i="3" s="1"/>
  <c r="AA44" i="3"/>
  <c r="AD40" i="3"/>
  <c r="X44" i="3"/>
  <c r="U44" i="3"/>
  <c r="R44" i="3"/>
  <c r="O44" i="3"/>
  <c r="L44" i="3"/>
  <c r="AC40" i="3"/>
  <c r="AC44" i="3" s="1"/>
  <c r="Q40" i="3"/>
  <c r="N40" i="3"/>
  <c r="K40" i="3"/>
  <c r="T40" i="3"/>
  <c r="J44" i="3"/>
  <c r="W40" i="3"/>
  <c r="N37" i="3"/>
  <c r="P37" i="3" s="1"/>
  <c r="K37" i="3"/>
  <c r="M37" i="3" s="1"/>
  <c r="Q37" i="3"/>
  <c r="S37" i="3" s="1"/>
  <c r="AC37" i="3"/>
  <c r="AE37" i="3" s="1"/>
  <c r="W37" i="3"/>
  <c r="Y37" i="3" s="1"/>
  <c r="T37" i="3"/>
  <c r="V37" i="3" s="1"/>
  <c r="T36" i="3"/>
  <c r="V36" i="3" s="1"/>
  <c r="W36" i="3"/>
  <c r="Y36" i="3" s="1"/>
  <c r="N36" i="3"/>
  <c r="P36" i="3" s="1"/>
  <c r="K36" i="3"/>
  <c r="M36" i="3" s="1"/>
  <c r="Q36" i="3"/>
  <c r="S36" i="3" s="1"/>
  <c r="AC36" i="3"/>
  <c r="AE36" i="3" s="1"/>
  <c r="K35" i="3"/>
  <c r="M35" i="3" s="1"/>
  <c r="W35" i="3"/>
  <c r="Y35" i="3" s="1"/>
  <c r="Q35" i="3"/>
  <c r="S35" i="3" s="1"/>
  <c r="AC35" i="3"/>
  <c r="AE35" i="3" s="1"/>
  <c r="T35" i="3"/>
  <c r="V35" i="3" s="1"/>
  <c r="N35" i="3"/>
  <c r="P35" i="3" s="1"/>
  <c r="AA38" i="3"/>
  <c r="AD34" i="3"/>
  <c r="X38" i="3"/>
  <c r="U38" i="3"/>
  <c r="R38" i="3"/>
  <c r="O38" i="3"/>
  <c r="L38" i="3"/>
  <c r="J38" i="3"/>
  <c r="Q34" i="3"/>
  <c r="N34" i="3"/>
  <c r="AC34" i="3"/>
  <c r="AC38" i="3" s="1"/>
  <c r="W34" i="3"/>
  <c r="K34" i="3"/>
  <c r="T34" i="3"/>
  <c r="N31" i="3"/>
  <c r="P31" i="3" s="1"/>
  <c r="Q31" i="3"/>
  <c r="S31" i="3" s="1"/>
  <c r="W31" i="3"/>
  <c r="Y31" i="3" s="1"/>
  <c r="AC31" i="3"/>
  <c r="AE31" i="3" s="1"/>
  <c r="K31" i="3"/>
  <c r="M31" i="3" s="1"/>
  <c r="T31" i="3"/>
  <c r="V31" i="3" s="1"/>
  <c r="T30" i="3"/>
  <c r="V30" i="3" s="1"/>
  <c r="K30" i="3"/>
  <c r="M30" i="3" s="1"/>
  <c r="AC30" i="3"/>
  <c r="AE30" i="3" s="1"/>
  <c r="Q30" i="3"/>
  <c r="S30" i="3" s="1"/>
  <c r="N30" i="3"/>
  <c r="P30" i="3" s="1"/>
  <c r="W30" i="3"/>
  <c r="Y30" i="3" s="1"/>
  <c r="K29" i="3"/>
  <c r="M29" i="3" s="1"/>
  <c r="W29" i="3"/>
  <c r="Y29" i="3" s="1"/>
  <c r="T29" i="3"/>
  <c r="V29" i="3" s="1"/>
  <c r="AC29" i="3"/>
  <c r="AE29" i="3" s="1"/>
  <c r="N29" i="3"/>
  <c r="P29" i="3" s="1"/>
  <c r="Q29" i="3"/>
  <c r="S29" i="3" s="1"/>
  <c r="AD28" i="3"/>
  <c r="AA32" i="3"/>
  <c r="X32" i="3"/>
  <c r="U32" i="3"/>
  <c r="R32" i="3"/>
  <c r="O32" i="3"/>
  <c r="L32" i="3"/>
  <c r="T28" i="3"/>
  <c r="Q28" i="3"/>
  <c r="W28" i="3"/>
  <c r="J32" i="3"/>
  <c r="AC28" i="3"/>
  <c r="AC32" i="3" s="1"/>
  <c r="K28" i="3"/>
  <c r="N28" i="3"/>
  <c r="K25" i="3"/>
  <c r="M25" i="3" s="1"/>
  <c r="W25" i="3"/>
  <c r="Y25" i="3" s="1"/>
  <c r="Q25" i="3"/>
  <c r="S25" i="3" s="1"/>
  <c r="AC25" i="3"/>
  <c r="AE25" i="3" s="1"/>
  <c r="T25" i="3"/>
  <c r="V25" i="3" s="1"/>
  <c r="N25" i="3"/>
  <c r="P25" i="3" s="1"/>
  <c r="T24" i="3"/>
  <c r="V24" i="3" s="1"/>
  <c r="Q24" i="3"/>
  <c r="S24" i="3" s="1"/>
  <c r="K24" i="3"/>
  <c r="M24" i="3" s="1"/>
  <c r="AC24" i="3"/>
  <c r="AE24" i="3" s="1"/>
  <c r="N24" i="3"/>
  <c r="P24" i="3" s="1"/>
  <c r="W24" i="3"/>
  <c r="Y24" i="3" s="1"/>
  <c r="K23" i="3"/>
  <c r="M23" i="3" s="1"/>
  <c r="W23" i="3"/>
  <c r="Y23" i="3" s="1"/>
  <c r="AC23" i="3"/>
  <c r="AE23" i="3" s="1"/>
  <c r="N23" i="3"/>
  <c r="P23" i="3" s="1"/>
  <c r="T23" i="3"/>
  <c r="V23" i="3" s="1"/>
  <c r="Q23" i="3"/>
  <c r="S23" i="3" s="1"/>
  <c r="AD22" i="3"/>
  <c r="AA26" i="3"/>
  <c r="X26" i="3"/>
  <c r="U26" i="3"/>
  <c r="R26" i="3"/>
  <c r="O26" i="3"/>
  <c r="L26" i="3"/>
  <c r="W22" i="3"/>
  <c r="N22" i="3"/>
  <c r="J26" i="3"/>
  <c r="AC22" i="3"/>
  <c r="AC26" i="3" s="1"/>
  <c r="K22" i="3"/>
  <c r="T22" i="3"/>
  <c r="Q22" i="3"/>
  <c r="W19" i="3"/>
  <c r="Y19" i="3" s="1"/>
  <c r="AC19" i="3"/>
  <c r="AE19" i="3" s="1"/>
  <c r="N19" i="3"/>
  <c r="P19" i="3" s="1"/>
  <c r="Q19" i="3"/>
  <c r="S19" i="3" s="1"/>
  <c r="T19" i="3"/>
  <c r="V19" i="3" s="1"/>
  <c r="K19" i="3"/>
  <c r="M19" i="3" s="1"/>
  <c r="N18" i="3"/>
  <c r="P18" i="3" s="1"/>
  <c r="T18" i="3"/>
  <c r="V18" i="3" s="1"/>
  <c r="W18" i="3"/>
  <c r="Y18" i="3" s="1"/>
  <c r="K18" i="3"/>
  <c r="M18" i="3" s="1"/>
  <c r="Q18" i="3"/>
  <c r="S18" i="3" s="1"/>
  <c r="AC18" i="3"/>
  <c r="AE18" i="3" s="1"/>
  <c r="N17" i="3"/>
  <c r="P17" i="3" s="1"/>
  <c r="W17" i="3"/>
  <c r="Y17" i="3" s="1"/>
  <c r="K17" i="3"/>
  <c r="M17" i="3" s="1"/>
  <c r="T17" i="3"/>
  <c r="V17" i="3" s="1"/>
  <c r="Q17" i="3"/>
  <c r="S17" i="3" s="1"/>
  <c r="AC17" i="3"/>
  <c r="AE17" i="3" s="1"/>
  <c r="AD16" i="3"/>
  <c r="AA20" i="3"/>
  <c r="X20" i="3"/>
  <c r="U20" i="3"/>
  <c r="R20" i="3"/>
  <c r="O20" i="3"/>
  <c r="L20" i="3"/>
  <c r="W16" i="3"/>
  <c r="AC16" i="3"/>
  <c r="AC20" i="3" s="1"/>
  <c r="Q16" i="3"/>
  <c r="J20" i="3"/>
  <c r="T16" i="3"/>
  <c r="N16" i="3"/>
  <c r="K16" i="3"/>
  <c r="T13" i="3"/>
  <c r="V13" i="3" s="1"/>
  <c r="AC13" i="3"/>
  <c r="AE13" i="3" s="1"/>
  <c r="W13" i="3"/>
  <c r="Y13" i="3" s="1"/>
  <c r="N13" i="3"/>
  <c r="P13" i="3" s="1"/>
  <c r="K13" i="3"/>
  <c r="M13" i="3" s="1"/>
  <c r="Q13" i="3"/>
  <c r="S13" i="3" s="1"/>
  <c r="AC12" i="3"/>
  <c r="AE12" i="3" s="1"/>
  <c r="Q12" i="3"/>
  <c r="S12" i="3" s="1"/>
  <c r="T12" i="3"/>
  <c r="V12" i="3" s="1"/>
  <c r="K12" i="3"/>
  <c r="M12" i="3" s="1"/>
  <c r="N12" i="3"/>
  <c r="P12" i="3" s="1"/>
  <c r="W12" i="3"/>
  <c r="Y12" i="3" s="1"/>
  <c r="Q11" i="3"/>
  <c r="S11" i="3" s="1"/>
  <c r="N11" i="3"/>
  <c r="P11" i="3" s="1"/>
  <c r="W11" i="3"/>
  <c r="Y11" i="3" s="1"/>
  <c r="K11" i="3"/>
  <c r="M11" i="3" s="1"/>
  <c r="T11" i="3"/>
  <c r="V11" i="3" s="1"/>
  <c r="AC11" i="3"/>
  <c r="AE11" i="3" s="1"/>
  <c r="AA14" i="3"/>
  <c r="AD10" i="3"/>
  <c r="X14" i="3"/>
  <c r="U14" i="3"/>
  <c r="R14" i="3"/>
  <c r="O14" i="3"/>
  <c r="L14" i="3"/>
  <c r="K10" i="3"/>
  <c r="M10" i="3" s="1"/>
  <c r="W10" i="3"/>
  <c r="Y10" i="3" s="1"/>
  <c r="J14" i="3"/>
  <c r="T10" i="3"/>
  <c r="V10" i="3" s="1"/>
  <c r="Q10" i="3"/>
  <c r="S10" i="3" s="1"/>
  <c r="AC10" i="3"/>
  <c r="N10" i="3"/>
  <c r="P10" i="3" s="1"/>
  <c r="K36" i="1"/>
  <c r="J40" i="1"/>
  <c r="K40" i="1" s="1"/>
  <c r="AB129" i="3"/>
  <c r="Z129" i="3"/>
  <c r="X75" i="12" l="1"/>
  <c r="S21" i="11"/>
  <c r="Q22" i="1"/>
  <c r="S22" i="1" s="1"/>
  <c r="L49" i="2" s="1"/>
  <c r="H49" i="2"/>
  <c r="S12" i="11"/>
  <c r="AB17" i="11"/>
  <c r="Y21" i="11"/>
  <c r="S11" i="11"/>
  <c r="M11" i="6"/>
  <c r="T11" i="6" s="1"/>
  <c r="Q11" i="6"/>
  <c r="W11" i="11"/>
  <c r="Y11" i="11" s="1"/>
  <c r="Q4" i="6"/>
  <c r="S10" i="11"/>
  <c r="S15" i="11"/>
  <c r="S25" i="11"/>
  <c r="X77" i="12"/>
  <c r="S20" i="11"/>
  <c r="X70" i="12"/>
  <c r="X71" i="12"/>
  <c r="X74" i="12"/>
  <c r="S16" i="11"/>
  <c r="S18" i="11"/>
  <c r="W9" i="11"/>
  <c r="Y9" i="11" s="1"/>
  <c r="P84" i="12"/>
  <c r="Q77" i="12"/>
  <c r="R77" i="12" s="1"/>
  <c r="Y77" i="12"/>
  <c r="AA77" i="12" s="1"/>
  <c r="S77" i="12"/>
  <c r="U77" i="12" s="1"/>
  <c r="M77" i="12"/>
  <c r="O77" i="12" s="1"/>
  <c r="Q76" i="12"/>
  <c r="R76" i="12" s="1"/>
  <c r="S76" i="12"/>
  <c r="U76" i="12" s="1"/>
  <c r="M76" i="12"/>
  <c r="O76" i="12" s="1"/>
  <c r="Y76" i="12"/>
  <c r="AA76" i="12" s="1"/>
  <c r="Q75" i="12"/>
  <c r="R75" i="12" s="1"/>
  <c r="Y75" i="12"/>
  <c r="AA75" i="12" s="1"/>
  <c r="M75" i="12"/>
  <c r="O75" i="12" s="1"/>
  <c r="S75" i="12"/>
  <c r="U75" i="12" s="1"/>
  <c r="X76" i="12"/>
  <c r="Y22" i="11"/>
  <c r="Y17" i="11"/>
  <c r="Q69" i="12"/>
  <c r="R69" i="12" s="1"/>
  <c r="M69" i="12"/>
  <c r="O69" i="12" s="1"/>
  <c r="S69" i="12"/>
  <c r="U69" i="12" s="1"/>
  <c r="Y69" i="12"/>
  <c r="AA69" i="12" s="1"/>
  <c r="W24" i="11"/>
  <c r="Y24" i="11" s="1"/>
  <c r="M12" i="6"/>
  <c r="T12" i="6" s="1"/>
  <c r="Q12" i="6"/>
  <c r="Q70" i="12"/>
  <c r="R70" i="12" s="1"/>
  <c r="Y70" i="12"/>
  <c r="AA70" i="12" s="1"/>
  <c r="S70" i="12"/>
  <c r="U70" i="12" s="1"/>
  <c r="M70" i="12"/>
  <c r="O70" i="12" s="1"/>
  <c r="W26" i="11"/>
  <c r="Y26" i="11" s="1"/>
  <c r="Q13" i="6"/>
  <c r="M13" i="6"/>
  <c r="T13" i="6" s="1"/>
  <c r="W16" i="11"/>
  <c r="Y16" i="11" s="1"/>
  <c r="M8" i="6"/>
  <c r="T8" i="6" s="1"/>
  <c r="Q8" i="6"/>
  <c r="F10" i="2"/>
  <c r="N9" i="1"/>
  <c r="T9" i="1"/>
  <c r="M10" i="2" s="1"/>
  <c r="F21" i="2"/>
  <c r="T12" i="1"/>
  <c r="M21" i="2" s="1"/>
  <c r="N12" i="1"/>
  <c r="N27" i="11"/>
  <c r="P27" i="11" s="1"/>
  <c r="T27" i="11"/>
  <c r="Z27" i="11"/>
  <c r="AB27" i="11" s="1"/>
  <c r="N24" i="11"/>
  <c r="P24" i="11" s="1"/>
  <c r="Z24" i="11"/>
  <c r="AB24" i="11" s="1"/>
  <c r="T24" i="11"/>
  <c r="L12" i="6" s="1"/>
  <c r="S12" i="6" s="1"/>
  <c r="Q73" i="12"/>
  <c r="R73" i="12" s="1"/>
  <c r="S73" i="12"/>
  <c r="U73" i="12" s="1"/>
  <c r="M73" i="12"/>
  <c r="O73" i="12" s="1"/>
  <c r="Y73" i="12"/>
  <c r="W25" i="11"/>
  <c r="Y25" i="11" s="1"/>
  <c r="M14" i="6"/>
  <c r="T14" i="6" s="1"/>
  <c r="Q14" i="6"/>
  <c r="T78" i="12"/>
  <c r="M16" i="12" s="1"/>
  <c r="L39" i="11"/>
  <c r="L40" i="11"/>
  <c r="I8" i="6"/>
  <c r="J8" i="6" s="1"/>
  <c r="K8" i="6" s="1"/>
  <c r="K85" i="12"/>
  <c r="N86" i="12"/>
  <c r="L39" i="1"/>
  <c r="L38" i="1"/>
  <c r="W27" i="11"/>
  <c r="Y27" i="11" s="1"/>
  <c r="Q15" i="6"/>
  <c r="Z84" i="12"/>
  <c r="W84" i="12"/>
  <c r="X69" i="12"/>
  <c r="Y15" i="11"/>
  <c r="X67" i="12"/>
  <c r="S27" i="11"/>
  <c r="S26" i="11"/>
  <c r="Q6" i="1"/>
  <c r="H7" i="2"/>
  <c r="S17" i="11"/>
  <c r="N85" i="12"/>
  <c r="X66" i="12"/>
  <c r="S22" i="11"/>
  <c r="X72" i="12"/>
  <c r="S14" i="11"/>
  <c r="X65" i="12"/>
  <c r="S9" i="11"/>
  <c r="U23" i="1"/>
  <c r="N50" i="2" s="1"/>
  <c r="K50" i="2"/>
  <c r="U14" i="1"/>
  <c r="N23" i="2" s="1"/>
  <c r="K23" i="2"/>
  <c r="U20" i="1"/>
  <c r="N38" i="2" s="1"/>
  <c r="K38" i="2"/>
  <c r="U7" i="1"/>
  <c r="N8" i="2" s="1"/>
  <c r="K8" i="2"/>
  <c r="L41" i="11"/>
  <c r="Y20" i="11"/>
  <c r="M38" i="1"/>
  <c r="M39" i="1"/>
  <c r="M37" i="1"/>
  <c r="N23" i="11"/>
  <c r="P23" i="11" s="1"/>
  <c r="Z23" i="11"/>
  <c r="M41" i="11"/>
  <c r="T23" i="11"/>
  <c r="V23" i="11" s="1"/>
  <c r="N20" i="11"/>
  <c r="P20" i="11" s="1"/>
  <c r="T20" i="11"/>
  <c r="V20" i="11" s="1"/>
  <c r="Z20" i="11"/>
  <c r="AB20" i="11" s="1"/>
  <c r="M6" i="6"/>
  <c r="T6" i="6" s="1"/>
  <c r="Q6" i="6"/>
  <c r="U8" i="1"/>
  <c r="N9" i="2" s="1"/>
  <c r="O3" i="6"/>
  <c r="U16" i="1"/>
  <c r="N25" i="2" s="1"/>
  <c r="O10" i="6"/>
  <c r="S19" i="11"/>
  <c r="Q40" i="11"/>
  <c r="S24" i="11"/>
  <c r="Q41" i="11"/>
  <c r="N25" i="11"/>
  <c r="Z25" i="11"/>
  <c r="AB25" i="11" s="1"/>
  <c r="T25" i="11"/>
  <c r="AA23" i="11"/>
  <c r="X41" i="11"/>
  <c r="N19" i="11"/>
  <c r="P19" i="11" s="1"/>
  <c r="T19" i="11"/>
  <c r="V19" i="11" s="1"/>
  <c r="M40" i="11"/>
  <c r="Z19" i="11"/>
  <c r="W10" i="11"/>
  <c r="Q3" i="6"/>
  <c r="M3" i="6"/>
  <c r="T3" i="6" s="1"/>
  <c r="M2" i="6"/>
  <c r="T2" i="6" s="1"/>
  <c r="Q2" i="6"/>
  <c r="U10" i="1"/>
  <c r="N11" i="2" s="1"/>
  <c r="O5" i="6"/>
  <c r="U18" i="1"/>
  <c r="N36" i="2" s="1"/>
  <c r="K36" i="2"/>
  <c r="Q15" i="1"/>
  <c r="H24" i="2"/>
  <c r="V64" i="12"/>
  <c r="T84" i="12"/>
  <c r="W86" i="12"/>
  <c r="Z73" i="12"/>
  <c r="Q72" i="12"/>
  <c r="R72" i="12" s="1"/>
  <c r="S72" i="12"/>
  <c r="U72" i="12" s="1"/>
  <c r="Y72" i="12"/>
  <c r="AA72" i="12" s="1"/>
  <c r="M72" i="12"/>
  <c r="O72" i="12" s="1"/>
  <c r="P78" i="12"/>
  <c r="P85" i="12"/>
  <c r="W85" i="12"/>
  <c r="Z68" i="12"/>
  <c r="W78" i="12"/>
  <c r="Q68" i="12"/>
  <c r="L85" i="12"/>
  <c r="Y68" i="12"/>
  <c r="M68" i="12"/>
  <c r="S68" i="12"/>
  <c r="Q67" i="12"/>
  <c r="R67" i="12" s="1"/>
  <c r="S67" i="12"/>
  <c r="U67" i="12" s="1"/>
  <c r="Y67" i="12"/>
  <c r="AA67" i="12" s="1"/>
  <c r="M67" i="12"/>
  <c r="O67" i="12" s="1"/>
  <c r="Q66" i="12"/>
  <c r="R66" i="12" s="1"/>
  <c r="S66" i="12"/>
  <c r="U66" i="12" s="1"/>
  <c r="M66" i="12"/>
  <c r="O66" i="12" s="1"/>
  <c r="Y66" i="12"/>
  <c r="AA66" i="12" s="1"/>
  <c r="Q65" i="12"/>
  <c r="R65" i="12" s="1"/>
  <c r="M65" i="12"/>
  <c r="O65" i="12" s="1"/>
  <c r="Y65" i="12"/>
  <c r="AA65" i="12" s="1"/>
  <c r="S65" i="12"/>
  <c r="U65" i="12" s="1"/>
  <c r="M64" i="12"/>
  <c r="S64" i="12"/>
  <c r="L78" i="12"/>
  <c r="Y64" i="12"/>
  <c r="L84" i="12"/>
  <c r="Q64" i="12"/>
  <c r="S13" i="11"/>
  <c r="Q39" i="11"/>
  <c r="Q9" i="6"/>
  <c r="M9" i="6"/>
  <c r="T9" i="6" s="1"/>
  <c r="U15" i="1"/>
  <c r="N24" i="2" s="1"/>
  <c r="O9" i="6"/>
  <c r="O40" i="11"/>
  <c r="N26" i="11"/>
  <c r="P26" i="11" s="1"/>
  <c r="T26" i="11"/>
  <c r="Z26" i="11"/>
  <c r="AB26" i="11" s="1"/>
  <c r="N21" i="11"/>
  <c r="P21" i="11" s="1"/>
  <c r="T21" i="11"/>
  <c r="Z21" i="11"/>
  <c r="AB21" i="11" s="1"/>
  <c r="U40" i="11"/>
  <c r="W19" i="11"/>
  <c r="N18" i="11"/>
  <c r="P18" i="11" s="1"/>
  <c r="Z18" i="11"/>
  <c r="AB18" i="11" s="1"/>
  <c r="T18" i="11"/>
  <c r="W14" i="11"/>
  <c r="Y14" i="11" s="1"/>
  <c r="M7" i="6"/>
  <c r="T7" i="6" s="1"/>
  <c r="Q7" i="6"/>
  <c r="F49" i="2"/>
  <c r="N22" i="1"/>
  <c r="T22" i="1"/>
  <c r="M49" i="2" s="1"/>
  <c r="U12" i="1"/>
  <c r="O7" i="6"/>
  <c r="K21" i="2"/>
  <c r="K49" i="2"/>
  <c r="O12" i="6"/>
  <c r="Q12" i="1"/>
  <c r="H21" i="2"/>
  <c r="U9" i="1"/>
  <c r="K10" i="2"/>
  <c r="O4" i="6"/>
  <c r="U19" i="1"/>
  <c r="N37" i="2" s="1"/>
  <c r="K37" i="2"/>
  <c r="Q9" i="1"/>
  <c r="H10" i="2"/>
  <c r="V68" i="12"/>
  <c r="T85" i="12"/>
  <c r="T86" i="12"/>
  <c r="V73" i="12"/>
  <c r="Q74" i="12"/>
  <c r="Y74" i="12"/>
  <c r="M74" i="12"/>
  <c r="S74" i="12"/>
  <c r="L86" i="12"/>
  <c r="P86" i="12"/>
  <c r="Q71" i="12"/>
  <c r="R71" i="12" s="1"/>
  <c r="M71" i="12"/>
  <c r="O71" i="12" s="1"/>
  <c r="Y71" i="12"/>
  <c r="AA71" i="12" s="1"/>
  <c r="S71" i="12"/>
  <c r="U71" i="12" s="1"/>
  <c r="K78" i="12"/>
  <c r="K84" i="12"/>
  <c r="N84" i="12"/>
  <c r="N78" i="12"/>
  <c r="Q38" i="11"/>
  <c r="Q28" i="11"/>
  <c r="S8" i="11"/>
  <c r="O39" i="11"/>
  <c r="S23" i="11"/>
  <c r="O41" i="11"/>
  <c r="O38" i="11"/>
  <c r="O28" i="11"/>
  <c r="W23" i="11"/>
  <c r="U41" i="11"/>
  <c r="N22" i="11"/>
  <c r="P22" i="11" s="1"/>
  <c r="T22" i="11"/>
  <c r="V22" i="11" s="1"/>
  <c r="Z22" i="11"/>
  <c r="AB22" i="11" s="1"/>
  <c r="AA19" i="11"/>
  <c r="X40" i="11"/>
  <c r="Q10" i="6"/>
  <c r="M10" i="6"/>
  <c r="T10" i="6" s="1"/>
  <c r="W18" i="11"/>
  <c r="O6" i="6"/>
  <c r="K20" i="2"/>
  <c r="T24" i="1"/>
  <c r="M51" i="2" s="1"/>
  <c r="N24" i="1"/>
  <c r="T21" i="1"/>
  <c r="N21" i="1"/>
  <c r="P21" i="1" s="1"/>
  <c r="I48" i="2" s="1"/>
  <c r="T7" i="1"/>
  <c r="N7" i="1"/>
  <c r="T8" i="1"/>
  <c r="N8" i="1"/>
  <c r="T10" i="1"/>
  <c r="N10" i="1"/>
  <c r="T11" i="1"/>
  <c r="N11" i="1"/>
  <c r="T13" i="1"/>
  <c r="M22" i="2" s="1"/>
  <c r="N13" i="1"/>
  <c r="T14" i="1"/>
  <c r="N14" i="1"/>
  <c r="T16" i="1"/>
  <c r="M25" i="2" s="1"/>
  <c r="N16" i="1"/>
  <c r="T17" i="1"/>
  <c r="N17" i="1"/>
  <c r="P17" i="1" s="1"/>
  <c r="I35" i="2" s="1"/>
  <c r="T18" i="1"/>
  <c r="N18" i="1"/>
  <c r="T23" i="1"/>
  <c r="N23" i="1"/>
  <c r="T20" i="1"/>
  <c r="N20" i="1"/>
  <c r="T19" i="1"/>
  <c r="N19" i="1"/>
  <c r="K86" i="12"/>
  <c r="Y12" i="11"/>
  <c r="O8" i="6"/>
  <c r="U13" i="1"/>
  <c r="Q8" i="1"/>
  <c r="Q16" i="1"/>
  <c r="U39" i="11"/>
  <c r="W13" i="11"/>
  <c r="Y13" i="11" s="1"/>
  <c r="Q13" i="1"/>
  <c r="Q24" i="1"/>
  <c r="N15" i="11"/>
  <c r="P15" i="11" s="1"/>
  <c r="T15" i="11"/>
  <c r="V15" i="11" s="1"/>
  <c r="Z15" i="11"/>
  <c r="AB15" i="11" s="1"/>
  <c r="N14" i="11"/>
  <c r="P14" i="11" s="1"/>
  <c r="Z14" i="11"/>
  <c r="AB14" i="11" s="1"/>
  <c r="T14" i="11"/>
  <c r="O13" i="6"/>
  <c r="U24" i="1"/>
  <c r="Q10" i="1"/>
  <c r="J11" i="2" s="1"/>
  <c r="Q17" i="1"/>
  <c r="O38" i="1"/>
  <c r="O36" i="1"/>
  <c r="O26" i="1"/>
  <c r="N9" i="11"/>
  <c r="P9" i="11" s="1"/>
  <c r="Z9" i="11"/>
  <c r="AB9" i="11" s="1"/>
  <c r="T9" i="11"/>
  <c r="X38" i="11"/>
  <c r="X28" i="11"/>
  <c r="AA8" i="11"/>
  <c r="U28" i="11"/>
  <c r="W8" i="11"/>
  <c r="Y8" i="11" s="1"/>
  <c r="U38" i="11"/>
  <c r="N8" i="11"/>
  <c r="P8" i="11" s="1"/>
  <c r="M28" i="11"/>
  <c r="Z8" i="11"/>
  <c r="M38" i="11"/>
  <c r="T8" i="11"/>
  <c r="V8" i="11" s="1"/>
  <c r="L28" i="11"/>
  <c r="L38" i="11"/>
  <c r="I6" i="6"/>
  <c r="J6" i="6" s="1"/>
  <c r="K6" i="6" s="1"/>
  <c r="L37" i="1"/>
  <c r="I2" i="6"/>
  <c r="J2" i="6" s="1"/>
  <c r="K2" i="6" s="1"/>
  <c r="L36" i="1"/>
  <c r="L26" i="1"/>
  <c r="N15" i="1"/>
  <c r="T15" i="1"/>
  <c r="N6" i="1"/>
  <c r="T6" i="1"/>
  <c r="M36" i="1"/>
  <c r="M26" i="1"/>
  <c r="U6" i="1"/>
  <c r="O2" i="6"/>
  <c r="R36" i="1"/>
  <c r="R26" i="1"/>
  <c r="Q20" i="1"/>
  <c r="N16" i="11"/>
  <c r="P16" i="11" s="1"/>
  <c r="T16" i="11"/>
  <c r="Z16" i="11"/>
  <c r="AB16" i="11" s="1"/>
  <c r="N13" i="11"/>
  <c r="P13" i="11" s="1"/>
  <c r="M39" i="11"/>
  <c r="T13" i="11"/>
  <c r="Z13" i="11"/>
  <c r="N12" i="11"/>
  <c r="P12" i="11" s="1"/>
  <c r="Z12" i="11"/>
  <c r="AB12" i="11" s="1"/>
  <c r="T12" i="11"/>
  <c r="N10" i="11"/>
  <c r="P10" i="11" s="1"/>
  <c r="Z10" i="11"/>
  <c r="AB10" i="11" s="1"/>
  <c r="T10" i="11"/>
  <c r="R39" i="1"/>
  <c r="U21" i="1"/>
  <c r="N48" i="2" s="1"/>
  <c r="Q11" i="1"/>
  <c r="J20" i="2" s="1"/>
  <c r="O37" i="1"/>
  <c r="Q19" i="1"/>
  <c r="Q25" i="1"/>
  <c r="H52" i="2"/>
  <c r="N11" i="11"/>
  <c r="P11" i="11" s="1"/>
  <c r="Z11" i="11"/>
  <c r="T11" i="11"/>
  <c r="U22" i="1"/>
  <c r="Q23" i="1"/>
  <c r="N17" i="11"/>
  <c r="P17" i="11" s="1"/>
  <c r="T17" i="11"/>
  <c r="U25" i="1"/>
  <c r="K52" i="2"/>
  <c r="Q18" i="1"/>
  <c r="AA13" i="11"/>
  <c r="X39" i="11"/>
  <c r="R37" i="1"/>
  <c r="U11" i="1"/>
  <c r="U17" i="1"/>
  <c r="N35" i="2" s="1"/>
  <c r="R38" i="1"/>
  <c r="Q7" i="1"/>
  <c r="Q14" i="1"/>
  <c r="Q21" i="1"/>
  <c r="J48" i="2" s="1"/>
  <c r="O39" i="1"/>
  <c r="M52" i="2"/>
  <c r="G52" i="2"/>
  <c r="P25" i="1"/>
  <c r="I52" i="2" s="1"/>
  <c r="H39" i="2"/>
  <c r="AE124" i="3"/>
  <c r="AD128" i="3"/>
  <c r="X129" i="3"/>
  <c r="U129" i="3"/>
  <c r="R129" i="3"/>
  <c r="O129" i="3"/>
  <c r="L129" i="3"/>
  <c r="AE118" i="3"/>
  <c r="AD122" i="3"/>
  <c r="AE122" i="3" s="1"/>
  <c r="AE112" i="3"/>
  <c r="AD116" i="3"/>
  <c r="AE116" i="3" s="1"/>
  <c r="AE106" i="3"/>
  <c r="AD110" i="3"/>
  <c r="AE100" i="3"/>
  <c r="AD104" i="3"/>
  <c r="AE104" i="3" s="1"/>
  <c r="AE94" i="3"/>
  <c r="AD98" i="3"/>
  <c r="AE98" i="3" s="1"/>
  <c r="S94" i="3"/>
  <c r="Q98" i="3"/>
  <c r="S98" i="3" s="1"/>
  <c r="AE88" i="3"/>
  <c r="AD92" i="3"/>
  <c r="AE82" i="3"/>
  <c r="AD86" i="3"/>
  <c r="AE86" i="3" s="1"/>
  <c r="AE76" i="3"/>
  <c r="AD80" i="3"/>
  <c r="AE80" i="3" s="1"/>
  <c r="AE70" i="3"/>
  <c r="AD74" i="3"/>
  <c r="AE64" i="3"/>
  <c r="AD68" i="3"/>
  <c r="AE68" i="3" s="1"/>
  <c r="AD62" i="3"/>
  <c r="AE62" i="3" s="1"/>
  <c r="AE58" i="3"/>
  <c r="AE52" i="3"/>
  <c r="AD56" i="3"/>
  <c r="AE56" i="3" s="1"/>
  <c r="AE46" i="3"/>
  <c r="AD50" i="3"/>
  <c r="AE50" i="3" s="1"/>
  <c r="AE40" i="3"/>
  <c r="AD44" i="3"/>
  <c r="AE44" i="3" s="1"/>
  <c r="AE34" i="3"/>
  <c r="AD38" i="3"/>
  <c r="AE38" i="3" s="1"/>
  <c r="AE28" i="3"/>
  <c r="AD32" i="3"/>
  <c r="AE32" i="3" s="1"/>
  <c r="AE22" i="3"/>
  <c r="AD26" i="3"/>
  <c r="AE26" i="3" s="1"/>
  <c r="AE16" i="3"/>
  <c r="AD20" i="3"/>
  <c r="AE20" i="3" s="1"/>
  <c r="AE10" i="3"/>
  <c r="AD14" i="3"/>
  <c r="AA129" i="3"/>
  <c r="J129" i="3"/>
  <c r="Q110" i="3"/>
  <c r="S110" i="3" s="1"/>
  <c r="N110" i="3"/>
  <c r="P110" i="3" s="1"/>
  <c r="T110" i="3"/>
  <c r="V110" i="3" s="1"/>
  <c r="K110" i="3"/>
  <c r="M110" i="3" s="1"/>
  <c r="AC110" i="3"/>
  <c r="AC129" i="3" s="1"/>
  <c r="W110" i="3"/>
  <c r="Y110" i="3" s="1"/>
  <c r="K92" i="3"/>
  <c r="M92" i="3" s="1"/>
  <c r="N92" i="3"/>
  <c r="P92" i="3" s="1"/>
  <c r="T92" i="3"/>
  <c r="V92" i="3" s="1"/>
  <c r="Q92" i="3"/>
  <c r="S92" i="3" s="1"/>
  <c r="W92" i="3"/>
  <c r="Y92" i="3" s="1"/>
  <c r="AC92" i="3"/>
  <c r="Q74" i="3"/>
  <c r="S74" i="3" s="1"/>
  <c r="N74" i="3"/>
  <c r="P74" i="3" s="1"/>
  <c r="T74" i="3"/>
  <c r="V74" i="3" s="1"/>
  <c r="K74" i="3"/>
  <c r="M74" i="3" s="1"/>
  <c r="W74" i="3"/>
  <c r="Y74" i="3" s="1"/>
  <c r="AC74" i="3"/>
  <c r="W50" i="3"/>
  <c r="Y50" i="3" s="1"/>
  <c r="K14" i="3"/>
  <c r="M14" i="3" s="1"/>
  <c r="W14" i="3"/>
  <c r="Y14" i="3" s="1"/>
  <c r="T14" i="3"/>
  <c r="V14" i="3" s="1"/>
  <c r="Q14" i="3"/>
  <c r="S14" i="3" s="1"/>
  <c r="AC14" i="3"/>
  <c r="N14" i="3"/>
  <c r="P14" i="3" s="1"/>
  <c r="W128" i="3"/>
  <c r="Y128" i="3" s="1"/>
  <c r="Y124" i="3"/>
  <c r="T128" i="3"/>
  <c r="V128" i="3" s="1"/>
  <c r="V124" i="3"/>
  <c r="N128" i="3"/>
  <c r="P128" i="3" s="1"/>
  <c r="P124" i="3"/>
  <c r="Q128" i="3"/>
  <c r="S128" i="3" s="1"/>
  <c r="S124" i="3"/>
  <c r="K128" i="3"/>
  <c r="M128" i="3" s="1"/>
  <c r="M124" i="3"/>
  <c r="K122" i="3"/>
  <c r="M118" i="3"/>
  <c r="Q122" i="3"/>
  <c r="S118" i="3"/>
  <c r="W122" i="3"/>
  <c r="Y118" i="3"/>
  <c r="N122" i="3"/>
  <c r="P118" i="3"/>
  <c r="T122" i="3"/>
  <c r="V118" i="3"/>
  <c r="K116" i="3"/>
  <c r="M116" i="3" s="1"/>
  <c r="M112" i="3"/>
  <c r="Q116" i="3"/>
  <c r="S116" i="3" s="1"/>
  <c r="S112" i="3"/>
  <c r="N116" i="3"/>
  <c r="P116" i="3" s="1"/>
  <c r="P112" i="3"/>
  <c r="T116" i="3"/>
  <c r="V116" i="3" s="1"/>
  <c r="V112" i="3"/>
  <c r="W116" i="3"/>
  <c r="Y116" i="3" s="1"/>
  <c r="Y112" i="3"/>
  <c r="K104" i="3"/>
  <c r="M104" i="3" s="1"/>
  <c r="M100" i="3"/>
  <c r="T104" i="3"/>
  <c r="V104" i="3" s="1"/>
  <c r="V100" i="3"/>
  <c r="Q104" i="3"/>
  <c r="S104" i="3" s="1"/>
  <c r="S100" i="3"/>
  <c r="N104" i="3"/>
  <c r="P104" i="3" s="1"/>
  <c r="P100" i="3"/>
  <c r="W104" i="3"/>
  <c r="Y104" i="3" s="1"/>
  <c r="Y100" i="3"/>
  <c r="N98" i="3"/>
  <c r="P98" i="3" s="1"/>
  <c r="P94" i="3"/>
  <c r="T98" i="3"/>
  <c r="V98" i="3" s="1"/>
  <c r="V94" i="3"/>
  <c r="K98" i="3"/>
  <c r="M98" i="3" s="1"/>
  <c r="M94" i="3"/>
  <c r="W98" i="3"/>
  <c r="Y98" i="3" s="1"/>
  <c r="Y94" i="3"/>
  <c r="N86" i="3"/>
  <c r="P86" i="3" s="1"/>
  <c r="P82" i="3"/>
  <c r="T86" i="3"/>
  <c r="V86" i="3" s="1"/>
  <c r="V82" i="3"/>
  <c r="Q86" i="3"/>
  <c r="S86" i="3" s="1"/>
  <c r="S82" i="3"/>
  <c r="W86" i="3"/>
  <c r="Y86" i="3" s="1"/>
  <c r="Y82" i="3"/>
  <c r="K86" i="3"/>
  <c r="M86" i="3" s="1"/>
  <c r="M82" i="3"/>
  <c r="K80" i="3"/>
  <c r="M80" i="3" s="1"/>
  <c r="M76" i="3"/>
  <c r="Q80" i="3"/>
  <c r="S80" i="3" s="1"/>
  <c r="S76" i="3"/>
  <c r="N80" i="3"/>
  <c r="P80" i="3" s="1"/>
  <c r="P76" i="3"/>
  <c r="W80" i="3"/>
  <c r="Y80" i="3" s="1"/>
  <c r="Y76" i="3"/>
  <c r="T80" i="3"/>
  <c r="V80" i="3" s="1"/>
  <c r="V76" i="3"/>
  <c r="N68" i="3"/>
  <c r="P68" i="3" s="1"/>
  <c r="P64" i="3"/>
  <c r="T68" i="3"/>
  <c r="V68" i="3" s="1"/>
  <c r="V64" i="3"/>
  <c r="K68" i="3"/>
  <c r="M68" i="3" s="1"/>
  <c r="M64" i="3"/>
  <c r="W68" i="3"/>
  <c r="Y68" i="3" s="1"/>
  <c r="Y64" i="3"/>
  <c r="Q68" i="3"/>
  <c r="S68" i="3" s="1"/>
  <c r="S64" i="3"/>
  <c r="Q62" i="3"/>
  <c r="S62" i="3" s="1"/>
  <c r="S58" i="3"/>
  <c r="N62" i="3"/>
  <c r="P62" i="3" s="1"/>
  <c r="P58" i="3"/>
  <c r="T62" i="3"/>
  <c r="V62" i="3" s="1"/>
  <c r="V58" i="3"/>
  <c r="K62" i="3"/>
  <c r="M62" i="3" s="1"/>
  <c r="M58" i="3"/>
  <c r="W62" i="3"/>
  <c r="Y62" i="3" s="1"/>
  <c r="Y58" i="3"/>
  <c r="N56" i="3"/>
  <c r="P56" i="3" s="1"/>
  <c r="P52" i="3"/>
  <c r="T56" i="3"/>
  <c r="V56" i="3" s="1"/>
  <c r="V52" i="3"/>
  <c r="Q56" i="3"/>
  <c r="S56" i="3" s="1"/>
  <c r="S52" i="3"/>
  <c r="W56" i="3"/>
  <c r="Y56" i="3" s="1"/>
  <c r="Y52" i="3"/>
  <c r="K56" i="3"/>
  <c r="M56" i="3" s="1"/>
  <c r="M52" i="3"/>
  <c r="K50" i="3"/>
  <c r="M50" i="3" s="1"/>
  <c r="M46" i="3"/>
  <c r="T50" i="3"/>
  <c r="V50" i="3" s="1"/>
  <c r="V46" i="3"/>
  <c r="N50" i="3"/>
  <c r="P50" i="3" s="1"/>
  <c r="P46" i="3"/>
  <c r="Q50" i="3"/>
  <c r="S50" i="3" s="1"/>
  <c r="S46" i="3"/>
  <c r="Q44" i="3"/>
  <c r="S44" i="3" s="1"/>
  <c r="S40" i="3"/>
  <c r="N44" i="3"/>
  <c r="P44" i="3" s="1"/>
  <c r="P40" i="3"/>
  <c r="K44" i="3"/>
  <c r="M44" i="3" s="1"/>
  <c r="M40" i="3"/>
  <c r="T44" i="3"/>
  <c r="V44" i="3" s="1"/>
  <c r="V40" i="3"/>
  <c r="W44" i="3"/>
  <c r="Y44" i="3" s="1"/>
  <c r="Y40" i="3"/>
  <c r="Q38" i="3"/>
  <c r="S38" i="3" s="1"/>
  <c r="S34" i="3"/>
  <c r="N38" i="3"/>
  <c r="P38" i="3" s="1"/>
  <c r="P34" i="3"/>
  <c r="W38" i="3"/>
  <c r="Y38" i="3" s="1"/>
  <c r="Y34" i="3"/>
  <c r="K38" i="3"/>
  <c r="M38" i="3" s="1"/>
  <c r="M34" i="3"/>
  <c r="T38" i="3"/>
  <c r="V38" i="3" s="1"/>
  <c r="V34" i="3"/>
  <c r="T32" i="3"/>
  <c r="V32" i="3" s="1"/>
  <c r="V28" i="3"/>
  <c r="Q32" i="3"/>
  <c r="S32" i="3" s="1"/>
  <c r="S28" i="3"/>
  <c r="W32" i="3"/>
  <c r="Y32" i="3" s="1"/>
  <c r="Y28" i="3"/>
  <c r="K32" i="3"/>
  <c r="M32" i="3" s="1"/>
  <c r="M28" i="3"/>
  <c r="N32" i="3"/>
  <c r="P32" i="3" s="1"/>
  <c r="P28" i="3"/>
  <c r="W26" i="3"/>
  <c r="Y26" i="3" s="1"/>
  <c r="Y22" i="3"/>
  <c r="N26" i="3"/>
  <c r="P26" i="3" s="1"/>
  <c r="P22" i="3"/>
  <c r="K26" i="3"/>
  <c r="M26" i="3" s="1"/>
  <c r="M22" i="3"/>
  <c r="T26" i="3"/>
  <c r="V26" i="3" s="1"/>
  <c r="V22" i="3"/>
  <c r="Q26" i="3"/>
  <c r="S26" i="3" s="1"/>
  <c r="S22" i="3"/>
  <c r="W20" i="3"/>
  <c r="Y20" i="3" s="1"/>
  <c r="Y16" i="3"/>
  <c r="Q20" i="3"/>
  <c r="S20" i="3" s="1"/>
  <c r="S16" i="3"/>
  <c r="T20" i="3"/>
  <c r="V20" i="3" s="1"/>
  <c r="V16" i="3"/>
  <c r="N20" i="3"/>
  <c r="P20" i="3" s="1"/>
  <c r="P16" i="3"/>
  <c r="K20" i="3"/>
  <c r="M20" i="3" s="1"/>
  <c r="M16" i="3"/>
  <c r="H53" i="2" l="1"/>
  <c r="J49" i="2"/>
  <c r="N12" i="6"/>
  <c r="AE92" i="3"/>
  <c r="V18" i="11"/>
  <c r="L10" i="6"/>
  <c r="S10" i="6" s="1"/>
  <c r="P10" i="6"/>
  <c r="G10" i="2"/>
  <c r="P9" i="1"/>
  <c r="I10" i="2" s="1"/>
  <c r="G21" i="2"/>
  <c r="P12" i="1"/>
  <c r="I21" i="2" s="1"/>
  <c r="V27" i="11"/>
  <c r="L15" i="6"/>
  <c r="S15" i="6" s="1"/>
  <c r="P15" i="6"/>
  <c r="L13" i="6"/>
  <c r="S13" i="6" s="1"/>
  <c r="V26" i="11"/>
  <c r="P13" i="6"/>
  <c r="G25" i="2"/>
  <c r="P16" i="1"/>
  <c r="I25" i="2" s="1"/>
  <c r="V11" i="11"/>
  <c r="L4" i="6"/>
  <c r="S4" i="6" s="1"/>
  <c r="P4" i="6"/>
  <c r="V24" i="11"/>
  <c r="P12" i="6"/>
  <c r="V12" i="1"/>
  <c r="O21" i="2" s="1"/>
  <c r="N21" i="2"/>
  <c r="V9" i="11"/>
  <c r="S40" i="11"/>
  <c r="H26" i="2"/>
  <c r="T38" i="11"/>
  <c r="V38" i="11" s="1"/>
  <c r="G36" i="2"/>
  <c r="P18" i="1"/>
  <c r="I36" i="2" s="1"/>
  <c r="G50" i="2"/>
  <c r="P23" i="1"/>
  <c r="I50" i="2" s="1"/>
  <c r="J35" i="2"/>
  <c r="S17" i="1"/>
  <c r="L35" i="2" s="1"/>
  <c r="V16" i="11"/>
  <c r="L8" i="6"/>
  <c r="S8" i="6" s="1"/>
  <c r="P8" i="6"/>
  <c r="J24" i="2"/>
  <c r="S15" i="1"/>
  <c r="L24" i="2" s="1"/>
  <c r="N9" i="6"/>
  <c r="J21" i="2"/>
  <c r="N7" i="6"/>
  <c r="S12" i="1"/>
  <c r="L21" i="2" s="1"/>
  <c r="V9" i="1"/>
  <c r="O10" i="2" s="1"/>
  <c r="N10" i="2"/>
  <c r="T41" i="11"/>
  <c r="V41" i="11" s="1"/>
  <c r="K26" i="2"/>
  <c r="K12" i="2"/>
  <c r="H12" i="2"/>
  <c r="N87" i="12"/>
  <c r="Q42" i="11"/>
  <c r="S38" i="11"/>
  <c r="L42" i="11"/>
  <c r="M42" i="11"/>
  <c r="J7" i="2"/>
  <c r="S6" i="1"/>
  <c r="L7" i="2" s="1"/>
  <c r="N2" i="6"/>
  <c r="V25" i="11"/>
  <c r="P14" i="6"/>
  <c r="L14" i="6"/>
  <c r="S14" i="6" s="1"/>
  <c r="AB23" i="11"/>
  <c r="AA41" i="11"/>
  <c r="Y10" i="11"/>
  <c r="W38" i="11"/>
  <c r="Y38" i="11" s="1"/>
  <c r="X42" i="11"/>
  <c r="W87" i="12"/>
  <c r="K53" i="2"/>
  <c r="S39" i="11"/>
  <c r="P87" i="12"/>
  <c r="J10" i="2"/>
  <c r="S9" i="1"/>
  <c r="L10" i="2" s="1"/>
  <c r="N4" i="6"/>
  <c r="S28" i="11"/>
  <c r="N37" i="1"/>
  <c r="P37" i="1" s="1"/>
  <c r="V16" i="1"/>
  <c r="O25" i="2" s="1"/>
  <c r="L87" i="12"/>
  <c r="G37" i="2"/>
  <c r="P19" i="1"/>
  <c r="I37" i="2" s="1"/>
  <c r="O42" i="11"/>
  <c r="S41" i="11"/>
  <c r="U42" i="11"/>
  <c r="N39" i="11"/>
  <c r="T39" i="11"/>
  <c r="V39" i="11" s="1"/>
  <c r="N40" i="11"/>
  <c r="K39" i="2"/>
  <c r="T87" i="12"/>
  <c r="R68" i="12"/>
  <c r="R85" i="12" s="1"/>
  <c r="Q85" i="12"/>
  <c r="P22" i="1"/>
  <c r="I49" i="2" s="1"/>
  <c r="G49" i="2"/>
  <c r="R74" i="12"/>
  <c r="R86" i="12" s="1"/>
  <c r="Q86" i="12"/>
  <c r="AA74" i="12"/>
  <c r="Y86" i="12"/>
  <c r="G8" i="2"/>
  <c r="P7" i="1"/>
  <c r="I8" i="2" s="1"/>
  <c r="N26" i="1"/>
  <c r="P26" i="1" s="1"/>
  <c r="N36" i="1"/>
  <c r="P36" i="1" s="1"/>
  <c r="G38" i="2"/>
  <c r="P20" i="1"/>
  <c r="I38" i="2" s="1"/>
  <c r="V14" i="11"/>
  <c r="L7" i="6"/>
  <c r="S7" i="6" s="1"/>
  <c r="P7" i="6"/>
  <c r="N41" i="11"/>
  <c r="P25" i="11"/>
  <c r="P41" i="11" s="1"/>
  <c r="P40" i="11"/>
  <c r="K87" i="12"/>
  <c r="N8" i="6"/>
  <c r="Q38" i="1"/>
  <c r="S38" i="1" s="1"/>
  <c r="O40" i="1"/>
  <c r="Z39" i="11"/>
  <c r="Z40" i="11"/>
  <c r="Y85" i="12"/>
  <c r="Z41" i="11"/>
  <c r="P11" i="6"/>
  <c r="L11" i="6"/>
  <c r="S11" i="6" s="1"/>
  <c r="U16" i="6"/>
  <c r="T18" i="6"/>
  <c r="V84" i="12"/>
  <c r="X64" i="12"/>
  <c r="V78" i="12"/>
  <c r="Z86" i="12"/>
  <c r="AA73" i="12"/>
  <c r="AA68" i="12"/>
  <c r="Z85" i="12"/>
  <c r="Z78" i="12"/>
  <c r="O68" i="12"/>
  <c r="O85" i="12" s="1"/>
  <c r="M85" i="12"/>
  <c r="U68" i="12"/>
  <c r="S85" i="12"/>
  <c r="U85" i="12" s="1"/>
  <c r="O64" i="12"/>
  <c r="O84" i="12" s="1"/>
  <c r="M78" i="12"/>
  <c r="O78" i="12" s="1"/>
  <c r="M84" i="12"/>
  <c r="U64" i="12"/>
  <c r="S84" i="12"/>
  <c r="S78" i="12"/>
  <c r="K16" i="12" s="1"/>
  <c r="Y78" i="12"/>
  <c r="Q16" i="12" s="1"/>
  <c r="AA64" i="12"/>
  <c r="Y84" i="12"/>
  <c r="Q84" i="12"/>
  <c r="Q78" i="12"/>
  <c r="R78" i="12" s="1"/>
  <c r="R64" i="12"/>
  <c r="R84" i="12" s="1"/>
  <c r="V21" i="11"/>
  <c r="T40" i="11"/>
  <c r="W40" i="11"/>
  <c r="Y40" i="11" s="1"/>
  <c r="Y19" i="11"/>
  <c r="V85" i="12"/>
  <c r="X85" i="12" s="1"/>
  <c r="X68" i="12"/>
  <c r="X73" i="12"/>
  <c r="V86" i="12"/>
  <c r="X86" i="12" s="1"/>
  <c r="O74" i="12"/>
  <c r="O86" i="12" s="1"/>
  <c r="M86" i="12"/>
  <c r="U74" i="12"/>
  <c r="S86" i="12"/>
  <c r="U86" i="12" s="1"/>
  <c r="W41" i="11"/>
  <c r="Y41" i="11" s="1"/>
  <c r="Y23" i="11"/>
  <c r="AA40" i="11"/>
  <c r="AB19" i="11"/>
  <c r="Y18" i="11"/>
  <c r="W39" i="11"/>
  <c r="W28" i="11"/>
  <c r="G51" i="2"/>
  <c r="P24" i="1"/>
  <c r="I51" i="2" s="1"/>
  <c r="M48" i="2"/>
  <c r="T39" i="1"/>
  <c r="G48" i="2"/>
  <c r="N39" i="1"/>
  <c r="M8" i="2"/>
  <c r="V7" i="1"/>
  <c r="O8" i="2" s="1"/>
  <c r="M9" i="2"/>
  <c r="V8" i="1"/>
  <c r="O9" i="2" s="1"/>
  <c r="G9" i="2"/>
  <c r="P8" i="1"/>
  <c r="I9" i="2" s="1"/>
  <c r="M11" i="2"/>
  <c r="V10" i="1"/>
  <c r="O11" i="2" s="1"/>
  <c r="G11" i="2"/>
  <c r="P10" i="1"/>
  <c r="I11" i="2" s="1"/>
  <c r="G20" i="2"/>
  <c r="P11" i="1"/>
  <c r="I20" i="2" s="1"/>
  <c r="G22" i="2"/>
  <c r="P13" i="1"/>
  <c r="I22" i="2" s="1"/>
  <c r="M23" i="2"/>
  <c r="V14" i="1"/>
  <c r="O23" i="2" s="1"/>
  <c r="M36" i="2"/>
  <c r="V18" i="1"/>
  <c r="O36" i="2" s="1"/>
  <c r="M50" i="2"/>
  <c r="V23" i="1"/>
  <c r="O50" i="2" s="1"/>
  <c r="M38" i="2"/>
  <c r="V20" i="1"/>
  <c r="O38" i="2" s="1"/>
  <c r="M37" i="2"/>
  <c r="V19" i="1"/>
  <c r="O37" i="2" s="1"/>
  <c r="N22" i="2"/>
  <c r="V13" i="1"/>
  <c r="O22" i="2" s="1"/>
  <c r="N3" i="6"/>
  <c r="S8" i="1"/>
  <c r="L9" i="2" s="1"/>
  <c r="J9" i="2"/>
  <c r="N10" i="6"/>
  <c r="J25" i="2"/>
  <c r="S16" i="1"/>
  <c r="L25" i="2" s="1"/>
  <c r="S13" i="1"/>
  <c r="L22" i="2" s="1"/>
  <c r="J22" i="2"/>
  <c r="J51" i="2"/>
  <c r="S24" i="1"/>
  <c r="L51" i="2" s="1"/>
  <c r="N13" i="6"/>
  <c r="V24" i="1"/>
  <c r="O51" i="2" s="1"/>
  <c r="N51" i="2"/>
  <c r="AA38" i="11"/>
  <c r="AB8" i="11"/>
  <c r="N28" i="11"/>
  <c r="P28" i="11" s="1"/>
  <c r="N38" i="11"/>
  <c r="P2" i="6"/>
  <c r="L2" i="6"/>
  <c r="S2" i="6" s="1"/>
  <c r="P15" i="1"/>
  <c r="I24" i="2" s="1"/>
  <c r="G24" i="2"/>
  <c r="M24" i="2"/>
  <c r="V15" i="1"/>
  <c r="O24" i="2" s="1"/>
  <c r="P6" i="1"/>
  <c r="I7" i="2" s="1"/>
  <c r="G7" i="2"/>
  <c r="M7" i="2"/>
  <c r="T36" i="1"/>
  <c r="T26" i="1"/>
  <c r="V6" i="1"/>
  <c r="O7" i="2" s="1"/>
  <c r="U36" i="1"/>
  <c r="N7" i="2"/>
  <c r="S20" i="1"/>
  <c r="L38" i="2" s="1"/>
  <c r="J38" i="2"/>
  <c r="S19" i="1"/>
  <c r="L37" i="2" s="1"/>
  <c r="J37" i="2"/>
  <c r="AB11" i="11"/>
  <c r="Z28" i="11"/>
  <c r="Z38" i="11"/>
  <c r="S23" i="1"/>
  <c r="L50" i="2" s="1"/>
  <c r="J50" i="2"/>
  <c r="S18" i="1"/>
  <c r="L36" i="2" s="1"/>
  <c r="J36" i="2"/>
  <c r="S7" i="1"/>
  <c r="L8" i="2" s="1"/>
  <c r="J8" i="2"/>
  <c r="Q36" i="1"/>
  <c r="S36" i="1" s="1"/>
  <c r="Q26" i="1"/>
  <c r="S14" i="1"/>
  <c r="L23" i="2" s="1"/>
  <c r="J23" i="2"/>
  <c r="P39" i="11"/>
  <c r="P38" i="11"/>
  <c r="M35" i="2"/>
  <c r="T38" i="1"/>
  <c r="G35" i="2"/>
  <c r="N38" i="1"/>
  <c r="P38" i="1" s="1"/>
  <c r="S10" i="1"/>
  <c r="N5" i="6"/>
  <c r="N6" i="6"/>
  <c r="Q37" i="1"/>
  <c r="S11" i="1"/>
  <c r="L20" i="2" s="1"/>
  <c r="J52" i="2"/>
  <c r="N15" i="6"/>
  <c r="S25" i="1"/>
  <c r="L52" i="2" s="1"/>
  <c r="S21" i="1"/>
  <c r="L48" i="2" s="1"/>
  <c r="Q39" i="1"/>
  <c r="S39" i="1" s="1"/>
  <c r="M20" i="2"/>
  <c r="T37" i="1"/>
  <c r="G23" i="2"/>
  <c r="P14" i="1"/>
  <c r="I23" i="2" s="1"/>
  <c r="L6" i="6"/>
  <c r="S6" i="6" s="1"/>
  <c r="P6" i="6"/>
  <c r="V13" i="11"/>
  <c r="V12" i="11"/>
  <c r="L5" i="6"/>
  <c r="S5" i="6" s="1"/>
  <c r="P5" i="6"/>
  <c r="L3" i="6"/>
  <c r="S3" i="6" s="1"/>
  <c r="P3" i="6"/>
  <c r="V10" i="11"/>
  <c r="V21" i="1"/>
  <c r="O48" i="2" s="1"/>
  <c r="U39" i="1"/>
  <c r="V22" i="1"/>
  <c r="O49" i="2" s="1"/>
  <c r="N49" i="2"/>
  <c r="P9" i="6"/>
  <c r="T28" i="11"/>
  <c r="V28" i="11" s="1"/>
  <c r="V17" i="11"/>
  <c r="L9" i="6"/>
  <c r="S9" i="6" s="1"/>
  <c r="N52" i="2"/>
  <c r="V25" i="1"/>
  <c r="O52" i="2" s="1"/>
  <c r="AA28" i="11"/>
  <c r="AA39" i="11"/>
  <c r="AB13" i="11"/>
  <c r="R40" i="1"/>
  <c r="V11" i="1"/>
  <c r="O20" i="2" s="1"/>
  <c r="U37" i="1"/>
  <c r="U26" i="1"/>
  <c r="N20" i="2"/>
  <c r="V17" i="1"/>
  <c r="O35" i="2" s="1"/>
  <c r="U38" i="1"/>
  <c r="N39" i="2"/>
  <c r="AE128" i="3"/>
  <c r="AD129" i="3"/>
  <c r="AE129" i="3" s="1"/>
  <c r="M122" i="3"/>
  <c r="M129" i="3" s="1"/>
  <c r="K129" i="3"/>
  <c r="S122" i="3"/>
  <c r="S129" i="3" s="1"/>
  <c r="Q129" i="3"/>
  <c r="Y122" i="3"/>
  <c r="Y129" i="3" s="1"/>
  <c r="W129" i="3"/>
  <c r="P122" i="3"/>
  <c r="P129" i="3" s="1"/>
  <c r="N129" i="3"/>
  <c r="V122" i="3"/>
  <c r="V129" i="3" s="1"/>
  <c r="T129" i="3"/>
  <c r="AE74" i="3"/>
  <c r="AE14" i="3"/>
  <c r="AE110" i="3"/>
  <c r="N26" i="2" l="1"/>
  <c r="S42" i="11"/>
  <c r="AB41" i="11"/>
  <c r="L39" i="2"/>
  <c r="N12" i="2"/>
  <c r="V39" i="1"/>
  <c r="M26" i="2"/>
  <c r="I12" i="2"/>
  <c r="G12" i="2"/>
  <c r="M87" i="12"/>
  <c r="O87" i="12" s="1"/>
  <c r="AB28" i="11"/>
  <c r="AA86" i="12"/>
  <c r="V26" i="1"/>
  <c r="I39" i="2"/>
  <c r="V16" i="6"/>
  <c r="I53" i="2"/>
  <c r="L26" i="2"/>
  <c r="Q87" i="12"/>
  <c r="R87" i="12" s="1"/>
  <c r="AB40" i="11"/>
  <c r="M53" i="2"/>
  <c r="G53" i="2"/>
  <c r="V36" i="1"/>
  <c r="Z42" i="11"/>
  <c r="G39" i="2"/>
  <c r="AB39" i="11"/>
  <c r="Y28" i="11"/>
  <c r="G26" i="2"/>
  <c r="J26" i="2"/>
  <c r="AB38" i="11"/>
  <c r="N42" i="11"/>
  <c r="P42" i="11" s="1"/>
  <c r="M12" i="2"/>
  <c r="J39" i="2"/>
  <c r="J12" i="2"/>
  <c r="M39" i="2"/>
  <c r="O39" i="2" s="1"/>
  <c r="V38" i="1"/>
  <c r="U78" i="12"/>
  <c r="O16" i="12" s="1"/>
  <c r="X78" i="12"/>
  <c r="J53" i="2"/>
  <c r="L53" i="2"/>
  <c r="T40" i="1"/>
  <c r="I26" i="2"/>
  <c r="N53" i="2"/>
  <c r="AA42" i="11"/>
  <c r="X84" i="12"/>
  <c r="X87" i="12" s="1"/>
  <c r="V87" i="12"/>
  <c r="AA85" i="12"/>
  <c r="Z87" i="12"/>
  <c r="U16" i="12"/>
  <c r="Y16" i="12" s="1"/>
  <c r="AA78" i="12"/>
  <c r="S87" i="12"/>
  <c r="U87" i="12" s="1"/>
  <c r="U84" i="12"/>
  <c r="Y87" i="12"/>
  <c r="AA84" i="12"/>
  <c r="V40" i="11"/>
  <c r="T42" i="11"/>
  <c r="V42" i="11" s="1"/>
  <c r="Y39" i="11"/>
  <c r="Y42" i="11" s="1"/>
  <c r="W42" i="11"/>
  <c r="P39" i="1"/>
  <c r="N40" i="1"/>
  <c r="P40" i="1" s="1"/>
  <c r="S18" i="6"/>
  <c r="T21" i="6" s="1"/>
  <c r="L11" i="2"/>
  <c r="L12" i="2" s="1"/>
  <c r="S26" i="1"/>
  <c r="S37" i="1"/>
  <c r="S40" i="1" s="1"/>
  <c r="Q40" i="1"/>
  <c r="V37" i="1"/>
  <c r="U40" i="1"/>
  <c r="O26" i="2" l="1"/>
  <c r="O12" i="2"/>
  <c r="O53" i="2"/>
  <c r="AB42" i="11"/>
  <c r="AA87" i="12"/>
  <c r="V40" i="1"/>
</calcChain>
</file>

<file path=xl/sharedStrings.xml><?xml version="1.0" encoding="utf-8"?>
<sst xmlns="http://schemas.openxmlformats.org/spreadsheetml/2006/main" count="1789" uniqueCount="279">
  <si>
    <t>Promoters Update</t>
  </si>
  <si>
    <t>Drop Point</t>
  </si>
  <si>
    <t>Sales Report</t>
  </si>
  <si>
    <t>Cash Reconciliation</t>
  </si>
  <si>
    <t xml:space="preserve">                Sales Performance</t>
  </si>
  <si>
    <t>SIN</t>
  </si>
  <si>
    <t>Region</t>
  </si>
  <si>
    <t>Area/Location</t>
  </si>
  <si>
    <t>Agency Supervisor</t>
  </si>
  <si>
    <t>Commenced?</t>
  </si>
  <si>
    <t>Date of Commencement</t>
  </si>
  <si>
    <t>Expected No of Promoters</t>
  </si>
  <si>
    <t>Actual Manning</t>
  </si>
  <si>
    <t>%Ach.</t>
  </si>
  <si>
    <t>Man Days</t>
  </si>
  <si>
    <t>No of Work Days</t>
  </si>
  <si>
    <t>No of Drop Points Created</t>
  </si>
  <si>
    <t>Exotic PC 315ml</t>
  </si>
  <si>
    <t>Hollandia Yoghurt 90ml</t>
  </si>
  <si>
    <t>Hollandia Yoghurt Plain 315ml</t>
  </si>
  <si>
    <t>Hollandia Evap Milk 120g</t>
  </si>
  <si>
    <t>PER REGION</t>
  </si>
  <si>
    <t>Target</t>
  </si>
  <si>
    <t>Actual</t>
  </si>
  <si>
    <t>Expected</t>
  </si>
  <si>
    <t>Paid</t>
  </si>
  <si>
    <t>Variance</t>
  </si>
  <si>
    <t>TARGET</t>
  </si>
  <si>
    <t>ACTUAL</t>
  </si>
  <si>
    <t>%ACD</t>
  </si>
  <si>
    <t>East 1</t>
  </si>
  <si>
    <t>Enugu</t>
  </si>
  <si>
    <t>JUDITH  NKECHI OBIESIE</t>
  </si>
  <si>
    <t>YES</t>
  </si>
  <si>
    <t>Abakaliki</t>
  </si>
  <si>
    <t>CHIMEZIE CHIKA</t>
  </si>
  <si>
    <t>Onitsha</t>
  </si>
  <si>
    <t>SHANTEL MMESOMACHUKWU</t>
  </si>
  <si>
    <t>Asaba</t>
  </si>
  <si>
    <t>Owerri</t>
  </si>
  <si>
    <t>CHIDI BEST</t>
  </si>
  <si>
    <t>East 2</t>
  </si>
  <si>
    <t>Aba</t>
  </si>
  <si>
    <t>IFEANYI MIRACLE</t>
  </si>
  <si>
    <t>PHC 1</t>
  </si>
  <si>
    <t>NZEH SANDRA</t>
  </si>
  <si>
    <t>PHC 2</t>
  </si>
  <si>
    <t>Bayelsa</t>
  </si>
  <si>
    <t>Uyo</t>
  </si>
  <si>
    <t>IFEANYI ESTER AKPATI</t>
  </si>
  <si>
    <t>Calabar</t>
  </si>
  <si>
    <t>ENOIDEM AKPAN</t>
  </si>
  <si>
    <t>West 1</t>
  </si>
  <si>
    <t>Ibadan 1</t>
  </si>
  <si>
    <t>OWOLABI TOLULOPE</t>
  </si>
  <si>
    <t>Ibadan 2</t>
  </si>
  <si>
    <t>ALABI OPEYEMI</t>
  </si>
  <si>
    <t xml:space="preserve">Oshogbo </t>
  </si>
  <si>
    <t>KOLADE TEMITOPE</t>
  </si>
  <si>
    <t>Ilorin</t>
  </si>
  <si>
    <t>SEGUN OLORUNTOBA</t>
  </si>
  <si>
    <t>West 2</t>
  </si>
  <si>
    <t>Benin 1</t>
  </si>
  <si>
    <t xml:space="preserve">TRINITY EZEIBE </t>
  </si>
  <si>
    <t>Benin 2</t>
  </si>
  <si>
    <t xml:space="preserve">AGBOMHERE ALI </t>
  </si>
  <si>
    <t>Akure 1</t>
  </si>
  <si>
    <t>AKINGBOLU OPEYEMI</t>
  </si>
  <si>
    <t>ADENIYI TAYE</t>
  </si>
  <si>
    <t>Warri</t>
  </si>
  <si>
    <t>TOTAL</t>
  </si>
  <si>
    <t>Total</t>
  </si>
  <si>
    <t>Start Date</t>
  </si>
  <si>
    <t>DTC Report</t>
  </si>
  <si>
    <t>Location</t>
  </si>
  <si>
    <t>Area</t>
  </si>
  <si>
    <t>%Ach</t>
  </si>
  <si>
    <t>MAN DAYS</t>
  </si>
  <si>
    <t>Capri-sun 200ml x 40ml</t>
  </si>
  <si>
    <t>Team 1</t>
  </si>
  <si>
    <t>Uydi-Market</t>
  </si>
  <si>
    <t>Team 2</t>
  </si>
  <si>
    <t>New Artisan Market</t>
  </si>
  <si>
    <t>Team 3</t>
  </si>
  <si>
    <t>Old Artisan Market</t>
  </si>
  <si>
    <t>Team 4</t>
  </si>
  <si>
    <t>Iboko</t>
  </si>
  <si>
    <t>Ahia Ofu</t>
  </si>
  <si>
    <t>ASABA</t>
  </si>
  <si>
    <t>AYEGBUSI CHRISTIANA</t>
  </si>
  <si>
    <t>Asaba/Infant Jesus</t>
  </si>
  <si>
    <t>OWERRI</t>
  </si>
  <si>
    <t>Orogwe and Oguaku</t>
  </si>
  <si>
    <t>Amakaohi and Akwakuma Market</t>
  </si>
  <si>
    <t>Nkwu Orji Market and Rochas Market</t>
  </si>
  <si>
    <t xml:space="preserve">East 2 </t>
  </si>
  <si>
    <t>ABA</t>
  </si>
  <si>
    <t>Ndioru Market/</t>
  </si>
  <si>
    <t>Isi Gate/</t>
  </si>
  <si>
    <t>School Road/Afam road</t>
  </si>
  <si>
    <t>Trailer Park/Izuoma new layout</t>
  </si>
  <si>
    <t>Gods Choice</t>
  </si>
  <si>
    <t>Rumukalagbor/Marine Market</t>
  </si>
  <si>
    <t>Rumuigbo/Oyigbo Market</t>
  </si>
  <si>
    <t>BAYELSA</t>
  </si>
  <si>
    <t>Emmanuel</t>
  </si>
  <si>
    <t>Swali Market/Agudama Town Market</t>
  </si>
  <si>
    <t>Akaba Town/Yenizegene Town Market</t>
  </si>
  <si>
    <t>UYO</t>
  </si>
  <si>
    <t>Urau Market/Akpan Andem Market</t>
  </si>
  <si>
    <t>Ifa Market/Urua Mbakara</t>
  </si>
  <si>
    <t>CALABAR</t>
  </si>
  <si>
    <t>Ekpo Abasi/Satelite Town &amp; Edim Otop</t>
  </si>
  <si>
    <t>Etim Edem Market/Etim Edem Street &amp; Goldie by Bedwell</t>
  </si>
  <si>
    <t>Marian</t>
  </si>
  <si>
    <t>West  1</t>
  </si>
  <si>
    <t>IBADAN I</t>
  </si>
  <si>
    <t>GBAGI/IWO ROAD</t>
  </si>
  <si>
    <t>ITA MERIN/OLODO</t>
  </si>
  <si>
    <t>EGBEDA/GBAGI</t>
  </si>
  <si>
    <t>SANGO/UI/IYANA CHURCH</t>
  </si>
  <si>
    <t>IBADAN II</t>
  </si>
  <si>
    <t xml:space="preserve">ALABI OPEYEMI </t>
  </si>
  <si>
    <t>BODE</t>
  </si>
  <si>
    <t>ODOONA</t>
  </si>
  <si>
    <t>OKEADO</t>
  </si>
  <si>
    <t xml:space="preserve">ALESHINLOYE </t>
  </si>
  <si>
    <t>OSHOGBO</t>
  </si>
  <si>
    <t>LAGERE (ILE-IFE)</t>
  </si>
  <si>
    <t>ORISUMBARE(OSHOGBO)</t>
  </si>
  <si>
    <t xml:space="preserve">ILORIN </t>
  </si>
  <si>
    <t>POST OFFICE/TANKE</t>
  </si>
  <si>
    <t xml:space="preserve">OLOJE/OJA OBE </t>
  </si>
  <si>
    <t>BENIN 1</t>
  </si>
  <si>
    <t>3 HOUSE/Olukuu</t>
  </si>
  <si>
    <t>EBOVWIE/Isihor</t>
  </si>
  <si>
    <t>BYPASS/Uselu</t>
  </si>
  <si>
    <t>BENIN II</t>
  </si>
  <si>
    <t>JATTU</t>
  </si>
  <si>
    <t>AUCHI</t>
  </si>
  <si>
    <t>AKURE 1(Ado-Ekiti/Ondo)</t>
  </si>
  <si>
    <t>OWENA MARKET/ILE OLUJI</t>
  </si>
  <si>
    <t>ADEFILA TEMIOLUWA</t>
  </si>
  <si>
    <t>AKURE II</t>
  </si>
  <si>
    <t>OGBESE/ISIKAN</t>
  </si>
  <si>
    <t>WARRI</t>
  </si>
  <si>
    <t xml:space="preserve">PRINCESS </t>
  </si>
  <si>
    <t xml:space="preserve">MAIN/ IJAW  MARKET </t>
  </si>
  <si>
    <t>Month</t>
  </si>
  <si>
    <t>Week</t>
  </si>
  <si>
    <t>Date</t>
  </si>
  <si>
    <t>Available Promoters</t>
  </si>
  <si>
    <t>No of Days Activated</t>
  </si>
  <si>
    <t>Phc 1</t>
  </si>
  <si>
    <t>Phc 2</t>
  </si>
  <si>
    <t>Weeks</t>
  </si>
  <si>
    <t>Target Consumer days</t>
  </si>
  <si>
    <t xml:space="preserve">Actual Consumer Days </t>
  </si>
  <si>
    <t>Target Hollandia Evap Milk 120g</t>
  </si>
  <si>
    <t>Actual Hollandia Evap Milk 120g</t>
  </si>
  <si>
    <t>Cash Expected</t>
  </si>
  <si>
    <t>Cash Paid</t>
  </si>
  <si>
    <t>TARGET PER REGION</t>
  </si>
  <si>
    <t>ACTUAL PER REGION</t>
  </si>
  <si>
    <t>Column1</t>
  </si>
  <si>
    <t>Target Volume</t>
  </si>
  <si>
    <t>Total Volume</t>
  </si>
  <si>
    <t>No of Days</t>
  </si>
  <si>
    <t>Shoppers Engaged per Promoter per Day</t>
  </si>
  <si>
    <t>Shoppers Converted per Promoter per Day</t>
  </si>
  <si>
    <t>Target Combos Per day</t>
  </si>
  <si>
    <t>DB Selling Price per Case</t>
  </si>
  <si>
    <t>Agency Selling Price per Case</t>
  </si>
  <si>
    <t xml:space="preserve">Margin </t>
  </si>
  <si>
    <t>Date: 11-08-2026</t>
  </si>
  <si>
    <t>Agency Team</t>
  </si>
  <si>
    <t>Reconciliation</t>
  </si>
  <si>
    <t>Supervisor</t>
  </si>
  <si>
    <t>No of DB's</t>
  </si>
  <si>
    <t>No of Supervisors</t>
  </si>
  <si>
    <t>No of BA's</t>
  </si>
  <si>
    <t>Daily Expected Target</t>
  </si>
  <si>
    <t>Hollandia Evap Milk 120g(Picked by Combos)</t>
  </si>
  <si>
    <t>Hollandia Evap Milk 120g(Sold by Combos)</t>
  </si>
  <si>
    <t>DB Amount to be Reconciled</t>
  </si>
  <si>
    <t>Agency Amount to be Reconciled</t>
  </si>
  <si>
    <t>DB Picked from</t>
  </si>
  <si>
    <t>Market/Neighbourhood Visited</t>
  </si>
  <si>
    <t>EAST 1</t>
  </si>
  <si>
    <t>Akpan Enoidem</t>
  </si>
  <si>
    <t>POLYTEX</t>
  </si>
  <si>
    <t>ETTA  AGBOR &amp; EDIM OTOP</t>
  </si>
  <si>
    <t>EAST 2</t>
  </si>
  <si>
    <t>Ado-Ekiti</t>
  </si>
  <si>
    <t>Akingbolu Isiaka Opeyemi</t>
  </si>
  <si>
    <t>GADAMS  ROYAL PULS</t>
  </si>
  <si>
    <t>POST OFFICE, ATIKANKAN</t>
  </si>
  <si>
    <t>WEST 1</t>
  </si>
  <si>
    <t>TOTAL 3DIM</t>
  </si>
  <si>
    <t>Date: 12-08-2026</t>
  </si>
  <si>
    <t>Victor Umeh</t>
  </si>
  <si>
    <t>ALLGRACE</t>
  </si>
  <si>
    <t>UDOUMANA RD,JOHNSON STREET</t>
  </si>
  <si>
    <t>GOLDIE, MOUNT ZION, ENVIRONS</t>
  </si>
  <si>
    <t>POST OFFICE ATIKANKAN</t>
  </si>
  <si>
    <t>Yes</t>
  </si>
  <si>
    <t>Akingbolu Isiaka</t>
  </si>
  <si>
    <t>yes</t>
  </si>
  <si>
    <t>August</t>
  </si>
  <si>
    <t>Week 3</t>
  </si>
  <si>
    <t>Akigbolu Isiaka</t>
  </si>
  <si>
    <t>uyo</t>
  </si>
  <si>
    <t>Row Labels</t>
  </si>
  <si>
    <t>Grand Total</t>
  </si>
  <si>
    <t>Sum of Expected No of Promoters</t>
  </si>
  <si>
    <t>Sum of Actual Manning</t>
  </si>
  <si>
    <t>Sum of Target Consumer days</t>
  </si>
  <si>
    <t xml:space="preserve">Sum of Actual Consumer Days </t>
  </si>
  <si>
    <t>Sum of % Ach</t>
  </si>
  <si>
    <t>Daily sales target per BA</t>
  </si>
  <si>
    <t>Details for Sum of Expected No of Promoters - Region: West 1</t>
  </si>
  <si>
    <t>Details for Sum of Actual Manning - Region: West 1</t>
  </si>
  <si>
    <t>Sum of Target Hollandia Evap Milk 120g</t>
  </si>
  <si>
    <t>Sum of Actual Hollandia Evap Milk 120g</t>
  </si>
  <si>
    <t>Sum of Target Volume</t>
  </si>
  <si>
    <t>Sum of Total Volume</t>
  </si>
  <si>
    <t>S/N</t>
  </si>
  <si>
    <t>ATD VOLUME</t>
  </si>
  <si>
    <t>Promoter Update</t>
  </si>
  <si>
    <t>Reached Target</t>
  </si>
  <si>
    <t>Reached Archieved</t>
  </si>
  <si>
    <t>%  Ach</t>
  </si>
  <si>
    <t xml:space="preserve">Conversion </t>
  </si>
  <si>
    <t>Strike Rate</t>
  </si>
  <si>
    <t>ATD REACH &amp; CONVERSION</t>
  </si>
  <si>
    <t>Consumer Target</t>
  </si>
  <si>
    <t>Consumer Reached</t>
  </si>
  <si>
    <t>ATD Value</t>
  </si>
  <si>
    <t>Reached Achieved</t>
  </si>
  <si>
    <t>Conversion</t>
  </si>
  <si>
    <t>NO OF Bas per Location</t>
  </si>
  <si>
    <t>Coversion Target</t>
  </si>
  <si>
    <t>ACTIVE TEAMS</t>
  </si>
  <si>
    <t>VOLUME</t>
  </si>
  <si>
    <t>VALUE</t>
  </si>
  <si>
    <t>Achieved</t>
  </si>
  <si>
    <t>% Achieved</t>
  </si>
  <si>
    <t>Cases Target</t>
  </si>
  <si>
    <t>Cases Actual</t>
  </si>
  <si>
    <t>% cases</t>
  </si>
  <si>
    <t>Value Target</t>
  </si>
  <si>
    <t>Value Actual</t>
  </si>
  <si>
    <t>% Value Achieved</t>
  </si>
  <si>
    <t>No of BAs per Location</t>
  </si>
  <si>
    <t>MUDIA</t>
  </si>
  <si>
    <t>IFEANYI CHIADIKABIA</t>
  </si>
  <si>
    <t>VICTOR UMEH</t>
  </si>
  <si>
    <t>AKPAN ENOIDEM</t>
  </si>
  <si>
    <t>AKINGBOLU ISIAKA OPEYEMI</t>
  </si>
  <si>
    <t>JAMES OLUWASEGUN</t>
  </si>
  <si>
    <t>JEROME</t>
  </si>
  <si>
    <t>Mudia</t>
  </si>
  <si>
    <t>Benin</t>
  </si>
  <si>
    <t>Akure</t>
  </si>
  <si>
    <t>Sum of cases</t>
  </si>
  <si>
    <t>ASHANTI</t>
  </si>
  <si>
    <t>SANDRA</t>
  </si>
  <si>
    <t>EMMANUEL</t>
  </si>
  <si>
    <t>CHIKA JONAS</t>
  </si>
  <si>
    <t>Target_Volume</t>
  </si>
  <si>
    <t xml:space="preserve"> % Ach</t>
  </si>
  <si>
    <t>Actual _Volume</t>
  </si>
  <si>
    <t>OBI IFEANYICHUKWU</t>
  </si>
  <si>
    <t>CHIDIBEST</t>
  </si>
  <si>
    <t>Auchi</t>
  </si>
  <si>
    <t>AGBOMHERE ALI</t>
  </si>
  <si>
    <t>Enugu/Abakaliki</t>
  </si>
  <si>
    <t>West2</t>
  </si>
  <si>
    <t>Date: (August Tuesday 11th - September Friday 4th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</si>
</sst>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$&quot;#,##0"/>
    <numFmt numFmtId="167" formatCode="0.000"/>
    <numFmt numFmtId="168" formatCode="_ * #,##0.00_ ;_ * \-#,##0.00_ ;_ * &quot;-&quot;??_ ;_ @_ "/>
    <numFmt numFmtId="169" formatCode="&quot;₦&quot;#,##0.00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0000"/>
      <name val="Aptos Narrow"/>
      <charset val="134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>
      <alignment vertical="center"/>
    </xf>
    <xf numFmtId="168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977">
    <xf numFmtId="0" fontId="0" fillId="0" borderId="0" xfId="0"/>
    <xf numFmtId="165" fontId="11" fillId="0" borderId="0" xfId="1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2" borderId="3" xfId="0" applyFont="1" applyFill="1" applyBorder="1" applyAlignment="1">
      <alignment horizontal="centerContinuous"/>
    </xf>
    <xf numFmtId="9" fontId="11" fillId="2" borderId="3" xfId="2" applyFont="1" applyFill="1" applyBorder="1" applyAlignment="1">
      <alignment horizontal="centerContinuous"/>
    </xf>
    <xf numFmtId="165" fontId="11" fillId="5" borderId="3" xfId="1" applyNumberFormat="1" applyFont="1" applyFill="1" applyBorder="1" applyAlignment="1">
      <alignment horizontal="centerContinuous"/>
    </xf>
    <xf numFmtId="165" fontId="11" fillId="6" borderId="3" xfId="1" applyNumberFormat="1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165" fontId="12" fillId="0" borderId="3" xfId="1" applyNumberFormat="1" applyFont="1" applyBorder="1" applyAlignment="1">
      <alignment horizontal="centerContinuous" vertical="center" wrapText="1"/>
    </xf>
    <xf numFmtId="165" fontId="11" fillId="0" borderId="3" xfId="1" applyNumberFormat="1" applyFont="1" applyBorder="1" applyAlignment="1">
      <alignment horizontal="centerContinuous" vertical="center" wrapText="1"/>
    </xf>
    <xf numFmtId="0" fontId="11" fillId="0" borderId="3" xfId="0" applyFont="1" applyBorder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3" xfId="0" applyFont="1" applyBorder="1"/>
    <xf numFmtId="9" fontId="11" fillId="0" borderId="3" xfId="2" applyFont="1" applyBorder="1"/>
    <xf numFmtId="165" fontId="11" fillId="0" borderId="3" xfId="1" applyNumberFormat="1" applyFont="1" applyBorder="1"/>
    <xf numFmtId="9" fontId="11" fillId="0" borderId="0" xfId="0" applyNumberFormat="1" applyFont="1"/>
    <xf numFmtId="0" fontId="0" fillId="0" borderId="3" xfId="0" applyBorder="1"/>
    <xf numFmtId="0" fontId="13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3" xfId="0" applyBorder="1" applyAlignment="1">
      <alignment horizontal="center"/>
    </xf>
    <xf numFmtId="9" fontId="0" fillId="0" borderId="3" xfId="2" applyFont="1" applyBorder="1" applyAlignment="1"/>
    <xf numFmtId="0" fontId="0" fillId="0" borderId="3" xfId="2" applyNumberFormat="1" applyFont="1" applyBorder="1" applyAlignment="1">
      <alignment horizontal="center"/>
    </xf>
    <xf numFmtId="9" fontId="0" fillId="0" borderId="3" xfId="2" applyFont="1" applyBorder="1"/>
    <xf numFmtId="165" fontId="0" fillId="0" borderId="3" xfId="1" applyNumberFormat="1" applyFont="1" applyBorder="1"/>
    <xf numFmtId="165" fontId="0" fillId="0" borderId="0" xfId="0" applyNumberFormat="1"/>
    <xf numFmtId="0" fontId="11" fillId="7" borderId="3" xfId="0" applyFont="1" applyFill="1" applyBorder="1" applyAlignment="1">
      <alignment vertical="center"/>
    </xf>
    <xf numFmtId="14" fontId="0" fillId="0" borderId="3" xfId="0" applyNumberFormat="1" applyBorder="1" applyAlignment="1">
      <alignment horizontal="left"/>
    </xf>
    <xf numFmtId="3" fontId="0" fillId="0" borderId="0" xfId="0" applyNumberFormat="1"/>
    <xf numFmtId="0" fontId="11" fillId="0" borderId="0" xfId="0" applyFont="1"/>
    <xf numFmtId="0" fontId="14" fillId="0" borderId="3" xfId="0" applyFont="1" applyBorder="1"/>
    <xf numFmtId="0" fontId="13" fillId="0" borderId="3" xfId="0" applyFont="1" applyBorder="1" applyAlignment="1">
      <alignment horizontal="left"/>
    </xf>
    <xf numFmtId="0" fontId="15" fillId="8" borderId="3" xfId="0" applyFont="1" applyFill="1" applyBorder="1" applyAlignment="1">
      <alignment horizontal="centerContinuous"/>
    </xf>
    <xf numFmtId="0" fontId="15" fillId="8" borderId="3" xfId="0" applyFont="1" applyFill="1" applyBorder="1"/>
    <xf numFmtId="0" fontId="15" fillId="8" borderId="3" xfId="0" applyFont="1" applyFill="1" applyBorder="1" applyAlignment="1">
      <alignment horizontal="center"/>
    </xf>
    <xf numFmtId="9" fontId="15" fillId="8" borderId="3" xfId="2" applyFont="1" applyFill="1" applyBorder="1" applyAlignment="1">
      <alignment horizontal="center"/>
    </xf>
    <xf numFmtId="165" fontId="15" fillId="8" borderId="3" xfId="1" applyNumberFormat="1" applyFont="1" applyFill="1" applyBorder="1" applyAlignment="1">
      <alignment horizontal="center"/>
    </xf>
    <xf numFmtId="9" fontId="15" fillId="9" borderId="3" xfId="2" applyFont="1" applyFill="1" applyBorder="1"/>
    <xf numFmtId="9" fontId="0" fillId="0" borderId="3" xfId="2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/>
    <xf numFmtId="165" fontId="0" fillId="0" borderId="0" xfId="1" applyNumberFormat="1" applyFont="1"/>
    <xf numFmtId="166" fontId="0" fillId="0" borderId="0" xfId="1" applyNumberFormat="1" applyFont="1"/>
    <xf numFmtId="164" fontId="0" fillId="0" borderId="0" xfId="1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Continuous" vertical="center" wrapText="1"/>
    </xf>
    <xf numFmtId="9" fontId="12" fillId="0" borderId="16" xfId="2" applyFont="1" applyBorder="1" applyAlignment="1">
      <alignment horizontal="centerContinuous" vertical="center" wrapText="1"/>
    </xf>
    <xf numFmtId="165" fontId="12" fillId="0" borderId="16" xfId="1" applyNumberFormat="1" applyFont="1" applyBorder="1" applyAlignment="1">
      <alignment horizontal="centerContinuous" vertical="center" wrapText="1"/>
    </xf>
    <xf numFmtId="165" fontId="11" fillId="0" borderId="16" xfId="1" applyNumberFormat="1" applyFont="1" applyBorder="1" applyAlignment="1">
      <alignment horizontal="centerContinuous" vertical="center" wrapText="1"/>
    </xf>
    <xf numFmtId="0" fontId="11" fillId="0" borderId="17" xfId="0" applyFont="1" applyBorder="1" applyAlignment="1">
      <alignment horizontal="centerContinuous" vertical="center" wrapText="1"/>
    </xf>
    <xf numFmtId="0" fontId="17" fillId="0" borderId="19" xfId="0" applyFont="1" applyBorder="1" applyAlignment="1">
      <alignment horizontal="center" vertical="center"/>
    </xf>
    <xf numFmtId="0" fontId="11" fillId="0" borderId="21" xfId="0" applyFont="1" applyBorder="1"/>
    <xf numFmtId="0" fontId="11" fillId="0" borderId="22" xfId="0" applyFont="1" applyBorder="1"/>
    <xf numFmtId="0" fontId="11" fillId="0" borderId="6" xfId="0" applyFont="1" applyBorder="1"/>
    <xf numFmtId="165" fontId="0" fillId="0" borderId="3" xfId="1" applyNumberFormat="1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11" fillId="0" borderId="23" xfId="0" applyFont="1" applyBorder="1"/>
    <xf numFmtId="0" fontId="11" fillId="0" borderId="9" xfId="0" applyFont="1" applyBorder="1"/>
    <xf numFmtId="0" fontId="0" fillId="0" borderId="24" xfId="0" applyBorder="1" applyAlignment="1">
      <alignment horizontal="center"/>
    </xf>
    <xf numFmtId="9" fontId="0" fillId="0" borderId="24" xfId="2" applyFont="1" applyBorder="1" applyAlignment="1">
      <alignment horizontal="center"/>
    </xf>
    <xf numFmtId="165" fontId="0" fillId="0" borderId="24" xfId="1" applyNumberFormat="1" applyFont="1" applyBorder="1" applyAlignment="1">
      <alignment horizontal="center"/>
    </xf>
    <xf numFmtId="9" fontId="0" fillId="0" borderId="25" xfId="2" applyFont="1" applyBorder="1" applyAlignment="1">
      <alignment horizontal="center"/>
    </xf>
    <xf numFmtId="0" fontId="11" fillId="0" borderId="26" xfId="0" applyFont="1" applyBorder="1"/>
    <xf numFmtId="0" fontId="11" fillId="0" borderId="27" xfId="0" applyFont="1" applyBorder="1"/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9" fontId="11" fillId="0" borderId="27" xfId="2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9" fontId="11" fillId="0" borderId="29" xfId="2" applyFont="1" applyFill="1" applyBorder="1" applyAlignment="1">
      <alignment horizontal="center"/>
    </xf>
    <xf numFmtId="165" fontId="11" fillId="0" borderId="29" xfId="1" applyNumberFormat="1" applyFont="1" applyFill="1" applyBorder="1" applyAlignment="1">
      <alignment horizontal="center"/>
    </xf>
    <xf numFmtId="165" fontId="11" fillId="0" borderId="27" xfId="1" applyNumberFormat="1" applyFont="1" applyBorder="1"/>
    <xf numFmtId="165" fontId="11" fillId="0" borderId="28" xfId="1" applyNumberFormat="1" applyFont="1" applyBorder="1"/>
    <xf numFmtId="9" fontId="11" fillId="0" borderId="30" xfId="2" applyFont="1" applyFill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9" fontId="11" fillId="0" borderId="31" xfId="2" applyFont="1" applyBorder="1" applyAlignment="1">
      <alignment horizontal="center"/>
    </xf>
    <xf numFmtId="0" fontId="11" fillId="4" borderId="35" xfId="0" applyFont="1" applyFill="1" applyBorder="1" applyAlignment="1">
      <alignment horizontal="centerContinuous"/>
    </xf>
    <xf numFmtId="9" fontId="11" fillId="4" borderId="35" xfId="2" applyFont="1" applyFill="1" applyBorder="1" applyAlignment="1">
      <alignment horizontal="centerContinuous"/>
    </xf>
    <xf numFmtId="165" fontId="11" fillId="5" borderId="35" xfId="1" applyNumberFormat="1" applyFont="1" applyFill="1" applyBorder="1" applyAlignment="1">
      <alignment horizontal="centerContinuous"/>
    </xf>
    <xf numFmtId="165" fontId="11" fillId="6" borderId="35" xfId="1" applyNumberFormat="1" applyFont="1" applyFill="1" applyBorder="1" applyAlignment="1">
      <alignment horizontal="centerContinuous"/>
    </xf>
    <xf numFmtId="9" fontId="11" fillId="6" borderId="36" xfId="2" applyFont="1" applyFill="1" applyBorder="1" applyAlignment="1">
      <alignment horizontal="centerContinuous"/>
    </xf>
    <xf numFmtId="0" fontId="11" fillId="0" borderId="37" xfId="0" applyFont="1" applyBorder="1" applyAlignment="1">
      <alignment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65" fontId="12" fillId="0" borderId="34" xfId="1" applyNumberFormat="1" applyFont="1" applyBorder="1" applyAlignment="1">
      <alignment horizontal="centerContinuous" vertical="center" wrapText="1"/>
    </xf>
    <xf numFmtId="165" fontId="12" fillId="0" borderId="35" xfId="1" applyNumberFormat="1" applyFont="1" applyBorder="1" applyAlignment="1">
      <alignment horizontal="centerContinuous" vertical="center" wrapText="1"/>
    </xf>
    <xf numFmtId="165" fontId="12" fillId="0" borderId="38" xfId="1" applyNumberFormat="1" applyFont="1" applyBorder="1" applyAlignment="1">
      <alignment horizontal="centerContinuous" vertical="center" wrapText="1"/>
    </xf>
    <xf numFmtId="165" fontId="11" fillId="0" borderId="37" xfId="1" applyNumberFormat="1" applyFont="1" applyBorder="1" applyAlignment="1">
      <alignment horizontal="centerContinuous" vertical="center" wrapText="1"/>
    </xf>
    <xf numFmtId="165" fontId="11" fillId="0" borderId="35" xfId="1" applyNumberFormat="1" applyFont="1" applyBorder="1" applyAlignment="1">
      <alignment horizontal="centerContinuous" vertical="center" wrapText="1"/>
    </xf>
    <xf numFmtId="9" fontId="11" fillId="0" borderId="36" xfId="2" applyFont="1" applyBorder="1" applyAlignment="1">
      <alignment horizontal="centerContinuous" vertical="center" wrapText="1"/>
    </xf>
    <xf numFmtId="0" fontId="11" fillId="0" borderId="18" xfId="0" applyFont="1" applyBorder="1"/>
    <xf numFmtId="0" fontId="11" fillId="0" borderId="20" xfId="0" applyFont="1" applyBorder="1"/>
    <xf numFmtId="0" fontId="11" fillId="0" borderId="40" xfId="0" applyFont="1" applyBorder="1" applyAlignment="1">
      <alignment horizontal="center"/>
    </xf>
    <xf numFmtId="9" fontId="11" fillId="0" borderId="41" xfId="2" applyFont="1" applyBorder="1"/>
    <xf numFmtId="0" fontId="11" fillId="0" borderId="19" xfId="0" applyFont="1" applyBorder="1"/>
    <xf numFmtId="165" fontId="11" fillId="0" borderId="19" xfId="1" applyNumberFormat="1" applyFont="1" applyBorder="1"/>
    <xf numFmtId="165" fontId="11" fillId="0" borderId="20" xfId="1" applyNumberFormat="1" applyFont="1" applyBorder="1"/>
    <xf numFmtId="165" fontId="11" fillId="0" borderId="40" xfId="1" applyNumberFormat="1" applyFont="1" applyBorder="1"/>
    <xf numFmtId="165" fontId="11" fillId="0" borderId="18" xfId="1" applyNumberFormat="1" applyFont="1" applyBorder="1"/>
    <xf numFmtId="0" fontId="0" fillId="0" borderId="22" xfId="0" applyBorder="1"/>
    <xf numFmtId="0" fontId="0" fillId="0" borderId="4" xfId="0" applyBorder="1"/>
    <xf numFmtId="9" fontId="0" fillId="0" borderId="21" xfId="2" applyFont="1" applyBorder="1"/>
    <xf numFmtId="0" fontId="0" fillId="0" borderId="6" xfId="0" applyBorder="1"/>
    <xf numFmtId="165" fontId="0" fillId="0" borderId="6" xfId="1" applyNumberFormat="1" applyFont="1" applyBorder="1"/>
    <xf numFmtId="165" fontId="0" fillId="0" borderId="22" xfId="1" applyNumberFormat="1" applyFont="1" applyBorder="1"/>
    <xf numFmtId="0" fontId="0" fillId="0" borderId="42" xfId="0" applyBorder="1"/>
    <xf numFmtId="0" fontId="0" fillId="0" borderId="10" xfId="0" applyBorder="1"/>
    <xf numFmtId="0" fontId="0" fillId="0" borderId="43" xfId="0" applyBorder="1"/>
    <xf numFmtId="9" fontId="0" fillId="0" borderId="44" xfId="2" applyFont="1" applyBorder="1"/>
    <xf numFmtId="0" fontId="0" fillId="0" borderId="45" xfId="0" applyBorder="1"/>
    <xf numFmtId="165" fontId="0" fillId="0" borderId="10" xfId="1" applyNumberFormat="1" applyFont="1" applyBorder="1"/>
    <xf numFmtId="0" fontId="11" fillId="0" borderId="37" xfId="0" applyFont="1" applyBorder="1"/>
    <xf numFmtId="0" fontId="11" fillId="0" borderId="35" xfId="0" applyFont="1" applyBorder="1"/>
    <xf numFmtId="9" fontId="11" fillId="0" borderId="36" xfId="2" applyFont="1" applyBorder="1"/>
    <xf numFmtId="165" fontId="11" fillId="0" borderId="34" xfId="1" applyNumberFormat="1" applyFont="1" applyBorder="1"/>
    <xf numFmtId="165" fontId="11" fillId="0" borderId="35" xfId="1" applyNumberFormat="1" applyFont="1" applyBorder="1"/>
    <xf numFmtId="0" fontId="11" fillId="0" borderId="38" xfId="0" applyFont="1" applyBorder="1"/>
    <xf numFmtId="165" fontId="11" fillId="0" borderId="37" xfId="1" applyNumberFormat="1" applyFont="1" applyBorder="1"/>
    <xf numFmtId="9" fontId="11" fillId="0" borderId="0" xfId="2" applyFont="1"/>
    <xf numFmtId="165" fontId="11" fillId="0" borderId="0" xfId="1" applyNumberFormat="1" applyFont="1"/>
    <xf numFmtId="165" fontId="11" fillId="0" borderId="33" xfId="1" applyNumberFormat="1" applyFont="1" applyBorder="1" applyAlignment="1">
      <alignment horizontal="center"/>
    </xf>
    <xf numFmtId="9" fontId="11" fillId="0" borderId="39" xfId="2" applyFont="1" applyBorder="1" applyAlignment="1">
      <alignment horizontal="center"/>
    </xf>
    <xf numFmtId="0" fontId="11" fillId="4" borderId="46" xfId="0" applyFont="1" applyFill="1" applyBorder="1" applyAlignment="1">
      <alignment horizontal="centerContinuous"/>
    </xf>
    <xf numFmtId="9" fontId="11" fillId="4" borderId="46" xfId="2" applyFont="1" applyFill="1" applyBorder="1" applyAlignment="1">
      <alignment horizontal="centerContinuous"/>
    </xf>
    <xf numFmtId="165" fontId="11" fillId="5" borderId="46" xfId="1" applyNumberFormat="1" applyFont="1" applyFill="1" applyBorder="1" applyAlignment="1">
      <alignment horizontal="centerContinuous"/>
    </xf>
    <xf numFmtId="165" fontId="11" fillId="6" borderId="46" xfId="1" applyNumberFormat="1" applyFont="1" applyFill="1" applyBorder="1" applyAlignment="1">
      <alignment horizontal="centerContinuous"/>
    </xf>
    <xf numFmtId="9" fontId="11" fillId="6" borderId="47" xfId="2" applyFont="1" applyFill="1" applyBorder="1" applyAlignment="1">
      <alignment horizontal="centerContinuous"/>
    </xf>
    <xf numFmtId="0" fontId="11" fillId="0" borderId="32" xfId="0" applyFont="1" applyBorder="1" applyAlignment="1">
      <alignment horizontal="center" vertical="center"/>
    </xf>
    <xf numFmtId="0" fontId="0" fillId="0" borderId="48" xfId="0" applyBorder="1"/>
    <xf numFmtId="14" fontId="11" fillId="0" borderId="49" xfId="0" applyNumberFormat="1" applyFont="1" applyBorder="1" applyAlignment="1">
      <alignment horizontal="center" vertical="center"/>
    </xf>
    <xf numFmtId="0" fontId="0" fillId="0" borderId="50" xfId="0" applyBorder="1"/>
    <xf numFmtId="9" fontId="0" fillId="0" borderId="0" xfId="2" applyFont="1" applyBorder="1"/>
    <xf numFmtId="165" fontId="11" fillId="9" borderId="2" xfId="1" applyNumberFormat="1" applyFont="1" applyFill="1" applyBorder="1" applyAlignment="1">
      <alignment horizontal="center"/>
    </xf>
    <xf numFmtId="165" fontId="11" fillId="9" borderId="31" xfId="1" applyNumberFormat="1" applyFont="1" applyFill="1" applyBorder="1" applyAlignment="1">
      <alignment horizontal="center"/>
    </xf>
    <xf numFmtId="165" fontId="11" fillId="0" borderId="32" xfId="1" applyNumberFormat="1" applyFont="1" applyBorder="1" applyAlignment="1">
      <alignment horizontal="center"/>
    </xf>
    <xf numFmtId="165" fontId="0" fillId="0" borderId="33" xfId="1" applyNumberFormat="1" applyFont="1" applyBorder="1"/>
    <xf numFmtId="9" fontId="0" fillId="0" borderId="39" xfId="2" applyFont="1" applyBorder="1"/>
    <xf numFmtId="0" fontId="11" fillId="10" borderId="35" xfId="0" applyFont="1" applyFill="1" applyBorder="1" applyAlignment="1">
      <alignment horizontal="centerContinuous" vertical="center"/>
    </xf>
    <xf numFmtId="9" fontId="11" fillId="10" borderId="35" xfId="2" applyFont="1" applyFill="1" applyBorder="1" applyAlignment="1">
      <alignment horizontal="centerContinuous" vertical="center"/>
    </xf>
    <xf numFmtId="165" fontId="11" fillId="6" borderId="37" xfId="1" applyNumberFormat="1" applyFont="1" applyFill="1" applyBorder="1" applyAlignment="1">
      <alignment horizontal="centerContinuous"/>
    </xf>
    <xf numFmtId="0" fontId="11" fillId="0" borderId="5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9" fontId="11" fillId="0" borderId="53" xfId="2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165" fontId="11" fillId="0" borderId="54" xfId="1" applyNumberFormat="1" applyFont="1" applyBorder="1" applyAlignment="1">
      <alignment horizontal="centerContinuous" vertical="center" wrapText="1"/>
    </xf>
    <xf numFmtId="165" fontId="11" fillId="0" borderId="46" xfId="1" applyNumberFormat="1" applyFont="1" applyBorder="1" applyAlignment="1">
      <alignment horizontal="centerContinuous" vertical="center" wrapText="1"/>
    </xf>
    <xf numFmtId="9" fontId="11" fillId="0" borderId="47" xfId="2" applyFont="1" applyBorder="1" applyAlignment="1">
      <alignment horizontal="centerContinuous" vertical="center" wrapText="1"/>
    </xf>
    <xf numFmtId="0" fontId="11" fillId="0" borderId="55" xfId="0" applyFont="1" applyBorder="1"/>
    <xf numFmtId="0" fontId="0" fillId="0" borderId="11" xfId="0" applyBorder="1"/>
    <xf numFmtId="0" fontId="0" fillId="0" borderId="13" xfId="0" applyBorder="1"/>
    <xf numFmtId="0" fontId="11" fillId="0" borderId="52" xfId="0" applyFont="1" applyBorder="1" applyAlignment="1">
      <alignment vertical="center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9" fontId="11" fillId="0" borderId="12" xfId="2" applyFont="1" applyFill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9" fontId="11" fillId="0" borderId="52" xfId="2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9" fontId="11" fillId="0" borderId="43" xfId="2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1" fillId="0" borderId="52" xfId="1" applyNumberFormat="1" applyFont="1" applyBorder="1" applyAlignment="1">
      <alignment horizontal="center" vertical="center"/>
    </xf>
    <xf numFmtId="0" fontId="13" fillId="10" borderId="32" xfId="0" applyFont="1" applyFill="1" applyBorder="1" applyAlignment="1">
      <alignment horizontal="center" vertical="center"/>
    </xf>
    <xf numFmtId="0" fontId="13" fillId="10" borderId="33" xfId="0" applyFont="1" applyFill="1" applyBorder="1" applyAlignment="1">
      <alignment vertical="center"/>
    </xf>
    <xf numFmtId="0" fontId="11" fillId="10" borderId="33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wrapText="1"/>
    </xf>
    <xf numFmtId="9" fontId="11" fillId="10" borderId="33" xfId="2" applyFont="1" applyFill="1" applyBorder="1" applyAlignment="1">
      <alignment horizontal="center" wrapText="1"/>
    </xf>
    <xf numFmtId="0" fontId="11" fillId="10" borderId="33" xfId="0" applyFont="1" applyFill="1" applyBorder="1" applyAlignment="1">
      <alignment horizontal="center"/>
    </xf>
    <xf numFmtId="0" fontId="12" fillId="10" borderId="33" xfId="0" applyFont="1" applyFill="1" applyBorder="1"/>
    <xf numFmtId="9" fontId="12" fillId="10" borderId="33" xfId="2" applyFont="1" applyFill="1" applyBorder="1"/>
    <xf numFmtId="165" fontId="12" fillId="10" borderId="33" xfId="1" applyNumberFormat="1" applyFont="1" applyFill="1" applyBorder="1"/>
    <xf numFmtId="165" fontId="11" fillId="10" borderId="33" xfId="1" applyNumberFormat="1" applyFont="1" applyFill="1" applyBorder="1"/>
    <xf numFmtId="165" fontId="0" fillId="10" borderId="33" xfId="1" applyNumberFormat="1" applyFont="1" applyFill="1" applyBorder="1"/>
    <xf numFmtId="9" fontId="0" fillId="10" borderId="39" xfId="2" applyFont="1" applyFill="1" applyBorder="1"/>
    <xf numFmtId="0" fontId="0" fillId="0" borderId="55" xfId="0" applyBorder="1"/>
    <xf numFmtId="1" fontId="0" fillId="0" borderId="20" xfId="0" applyNumberFormat="1" applyBorder="1"/>
    <xf numFmtId="0" fontId="0" fillId="0" borderId="4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5" xfId="2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58" xfId="0" applyBorder="1"/>
    <xf numFmtId="9" fontId="0" fillId="0" borderId="41" xfId="2" applyFont="1" applyFill="1" applyBorder="1"/>
    <xf numFmtId="0" fontId="0" fillId="0" borderId="20" xfId="0" applyBorder="1"/>
    <xf numFmtId="0" fontId="0" fillId="0" borderId="40" xfId="0" applyBorder="1"/>
    <xf numFmtId="165" fontId="0" fillId="0" borderId="57" xfId="1" applyNumberFormat="1" applyFont="1" applyFill="1" applyBorder="1" applyAlignment="1">
      <alignment horizontal="right"/>
    </xf>
    <xf numFmtId="165" fontId="0" fillId="0" borderId="16" xfId="1" applyNumberFormat="1" applyFont="1" applyFill="1" applyBorder="1" applyAlignment="1">
      <alignment horizontal="right"/>
    </xf>
    <xf numFmtId="165" fontId="0" fillId="0" borderId="17" xfId="1" applyNumberFormat="1" applyFont="1" applyFill="1" applyBorder="1"/>
    <xf numFmtId="165" fontId="0" fillId="0" borderId="57" xfId="1" applyNumberFormat="1" applyFont="1" applyFill="1" applyBorder="1"/>
    <xf numFmtId="165" fontId="0" fillId="0" borderId="16" xfId="1" applyNumberFormat="1" applyFont="1" applyBorder="1"/>
    <xf numFmtId="9" fontId="0" fillId="0" borderId="17" xfId="2" applyFont="1" applyBorder="1"/>
    <xf numFmtId="1" fontId="18" fillId="0" borderId="3" xfId="0" applyNumberFormat="1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2" applyFont="1" applyFill="1" applyBorder="1" applyAlignment="1">
      <alignment horizontal="center"/>
    </xf>
    <xf numFmtId="9" fontId="0" fillId="0" borderId="21" xfId="2" applyFont="1" applyFill="1" applyBorder="1"/>
    <xf numFmtId="165" fontId="0" fillId="0" borderId="22" xfId="1" applyNumberFormat="1" applyFont="1" applyFill="1" applyBorder="1"/>
    <xf numFmtId="165" fontId="0" fillId="0" borderId="3" xfId="1" applyNumberFormat="1" applyFont="1" applyFill="1" applyBorder="1"/>
    <xf numFmtId="165" fontId="0" fillId="0" borderId="21" xfId="1" applyNumberFormat="1" applyFont="1" applyFill="1" applyBorder="1"/>
    <xf numFmtId="0" fontId="11" fillId="0" borderId="45" xfId="0" applyFont="1" applyBorder="1"/>
    <xf numFmtId="0" fontId="12" fillId="0" borderId="1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5" xfId="0" applyBorder="1" applyAlignment="1">
      <alignment horizontal="center"/>
    </xf>
    <xf numFmtId="9" fontId="0" fillId="0" borderId="45" xfId="2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44" xfId="2" applyFont="1" applyFill="1" applyBorder="1"/>
    <xf numFmtId="165" fontId="0" fillId="0" borderId="42" xfId="1" applyNumberFormat="1" applyFont="1" applyFill="1" applyBorder="1"/>
    <xf numFmtId="165" fontId="0" fillId="0" borderId="10" xfId="1" applyNumberFormat="1" applyFont="1" applyFill="1" applyBorder="1"/>
    <xf numFmtId="165" fontId="0" fillId="0" borderId="44" xfId="1" applyNumberFormat="1" applyFont="1" applyFill="1" applyBorder="1"/>
    <xf numFmtId="165" fontId="0" fillId="0" borderId="24" xfId="1" applyNumberFormat="1" applyFont="1" applyBorder="1"/>
    <xf numFmtId="0" fontId="13" fillId="13" borderId="11" xfId="0" applyFont="1" applyFill="1" applyBorder="1" applyAlignment="1">
      <alignment vertical="center"/>
    </xf>
    <xf numFmtId="0" fontId="13" fillId="13" borderId="13" xfId="0" applyFont="1" applyFill="1" applyBorder="1" applyAlignment="1">
      <alignment horizontal="center"/>
    </xf>
    <xf numFmtId="0" fontId="11" fillId="13" borderId="59" xfId="0" applyFon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9" fontId="0" fillId="13" borderId="34" xfId="2" applyFont="1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9" fontId="0" fillId="13" borderId="52" xfId="2" applyFont="1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59" xfId="0" applyFill="1" applyBorder="1" applyAlignment="1">
      <alignment horizontal="center"/>
    </xf>
    <xf numFmtId="165" fontId="0" fillId="13" borderId="37" xfId="1" applyNumberFormat="1" applyFont="1" applyFill="1" applyBorder="1" applyAlignment="1">
      <alignment horizontal="center"/>
    </xf>
    <xf numFmtId="165" fontId="0" fillId="13" borderId="36" xfId="1" applyNumberFormat="1" applyFont="1" applyFill="1" applyBorder="1" applyAlignment="1">
      <alignment horizontal="center"/>
    </xf>
    <xf numFmtId="165" fontId="0" fillId="13" borderId="37" xfId="1" applyNumberFormat="1" applyFont="1" applyFill="1" applyBorder="1"/>
    <xf numFmtId="165" fontId="0" fillId="13" borderId="35" xfId="1" applyNumberFormat="1" applyFont="1" applyFill="1" applyBorder="1"/>
    <xf numFmtId="9" fontId="0" fillId="13" borderId="36" xfId="2" applyFont="1" applyFill="1" applyBorder="1"/>
    <xf numFmtId="0" fontId="19" fillId="0" borderId="55" xfId="0" applyFont="1" applyBorder="1"/>
    <xf numFmtId="0" fontId="19" fillId="10" borderId="33" xfId="0" applyFont="1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9" fontId="0" fillId="10" borderId="33" xfId="2" applyFont="1" applyFill="1" applyBorder="1" applyAlignment="1">
      <alignment horizontal="center"/>
    </xf>
    <xf numFmtId="0" fontId="0" fillId="10" borderId="33" xfId="0" applyFill="1" applyBorder="1"/>
    <xf numFmtId="9" fontId="0" fillId="10" borderId="33" xfId="2" applyFont="1" applyFill="1" applyBorder="1"/>
    <xf numFmtId="0" fontId="19" fillId="10" borderId="33" xfId="0" applyFont="1" applyFill="1" applyBorder="1"/>
    <xf numFmtId="9" fontId="19" fillId="10" borderId="33" xfId="2" applyFont="1" applyFill="1" applyBorder="1"/>
    <xf numFmtId="165" fontId="0" fillId="10" borderId="33" xfId="1" applyNumberFormat="1" applyFont="1" applyFill="1" applyBorder="1" applyAlignment="1">
      <alignment horizontal="center"/>
    </xf>
    <xf numFmtId="165" fontId="19" fillId="10" borderId="33" xfId="1" applyNumberFormat="1" applyFont="1" applyFill="1" applyBorder="1"/>
    <xf numFmtId="165" fontId="19" fillId="10" borderId="0" xfId="1" applyNumberFormat="1" applyFont="1" applyFill="1" applyBorder="1"/>
    <xf numFmtId="9" fontId="19" fillId="10" borderId="60" xfId="2" applyFont="1" applyFill="1" applyBorder="1"/>
    <xf numFmtId="0" fontId="19" fillId="0" borderId="0" xfId="0" applyFont="1"/>
    <xf numFmtId="0" fontId="20" fillId="0" borderId="0" xfId="0" applyFont="1"/>
    <xf numFmtId="9" fontId="20" fillId="0" borderId="0" xfId="0" applyNumberFormat="1" applyFont="1"/>
    <xf numFmtId="0" fontId="11" fillId="0" borderId="40" xfId="0" applyFont="1" applyBorder="1" applyAlignment="1">
      <alignment horizontal="center" vertical="center"/>
    </xf>
    <xf numFmtId="165" fontId="0" fillId="0" borderId="16" xfId="1" applyNumberFormat="1" applyFont="1" applyFill="1" applyBorder="1"/>
    <xf numFmtId="0" fontId="12" fillId="0" borderId="3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165" fontId="0" fillId="10" borderId="34" xfId="1" applyNumberFormat="1" applyFont="1" applyFill="1" applyBorder="1"/>
    <xf numFmtId="165" fontId="0" fillId="10" borderId="61" xfId="1" applyNumberFormat="1" applyFont="1" applyFill="1" applyBorder="1"/>
    <xf numFmtId="165" fontId="0" fillId="10" borderId="0" xfId="1" applyNumberFormat="1" applyFont="1" applyFill="1" applyBorder="1"/>
    <xf numFmtId="9" fontId="0" fillId="10" borderId="60" xfId="2" applyFont="1" applyFill="1" applyBorder="1"/>
    <xf numFmtId="0" fontId="12" fillId="0" borderId="20" xfId="0" applyFont="1" applyBorder="1" applyAlignment="1">
      <alignment horizontal="center" vertical="center"/>
    </xf>
    <xf numFmtId="9" fontId="0" fillId="0" borderId="0" xfId="0" applyNumberFormat="1"/>
    <xf numFmtId="0" fontId="0" fillId="13" borderId="34" xfId="0" applyFill="1" applyBorder="1" applyAlignment="1">
      <alignment horizontal="center"/>
    </xf>
    <xf numFmtId="165" fontId="0" fillId="10" borderId="46" xfId="1" applyNumberFormat="1" applyFont="1" applyFill="1" applyBorder="1"/>
    <xf numFmtId="9" fontId="0" fillId="10" borderId="47" xfId="2" applyFont="1" applyFill="1" applyBorder="1"/>
    <xf numFmtId="0" fontId="12" fillId="0" borderId="20" xfId="0" applyFont="1" applyBorder="1" applyAlignment="1">
      <alignment horizontal="center"/>
    </xf>
    <xf numFmtId="9" fontId="0" fillId="0" borderId="0" xfId="0" applyNumberFormat="1" applyAlignment="1">
      <alignment vertical="center" wrapText="1"/>
    </xf>
    <xf numFmtId="165" fontId="0" fillId="0" borderId="23" xfId="1" applyNumberFormat="1" applyFont="1" applyFill="1" applyBorder="1"/>
    <xf numFmtId="9" fontId="0" fillId="0" borderId="25" xfId="2" applyFont="1" applyBorder="1"/>
    <xf numFmtId="0" fontId="13" fillId="13" borderId="37" xfId="0" applyFont="1" applyFill="1" applyBorder="1" applyAlignment="1">
      <alignment vertical="center"/>
    </xf>
    <xf numFmtId="0" fontId="13" fillId="13" borderId="35" xfId="0" applyFont="1" applyFill="1" applyBorder="1" applyAlignment="1">
      <alignment horizontal="center"/>
    </xf>
    <xf numFmtId="0" fontId="11" fillId="13" borderId="38" xfId="0" applyFont="1" applyFill="1" applyBorder="1" applyAlignment="1">
      <alignment horizontal="center"/>
    </xf>
    <xf numFmtId="0" fontId="0" fillId="13" borderId="33" xfId="0" applyFill="1" applyBorder="1" applyAlignment="1">
      <alignment horizontal="center"/>
    </xf>
    <xf numFmtId="9" fontId="0" fillId="13" borderId="36" xfId="2" applyFon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1" fontId="21" fillId="0" borderId="3" xfId="0" applyNumberFormat="1" applyFont="1" applyBorder="1" applyAlignment="1">
      <alignment vertical="center"/>
    </xf>
    <xf numFmtId="0" fontId="0" fillId="0" borderId="62" xfId="0" applyBorder="1"/>
    <xf numFmtId="0" fontId="0" fillId="13" borderId="32" xfId="0" applyFill="1" applyBorder="1"/>
    <xf numFmtId="0" fontId="0" fillId="13" borderId="33" xfId="0" applyFill="1" applyBorder="1"/>
    <xf numFmtId="0" fontId="11" fillId="13" borderId="33" xfId="0" applyFont="1" applyFill="1" applyBorder="1"/>
    <xf numFmtId="0" fontId="13" fillId="13" borderId="34" xfId="0" applyFont="1" applyFill="1" applyBorder="1" applyAlignment="1">
      <alignment horizontal="center"/>
    </xf>
    <xf numFmtId="0" fontId="0" fillId="0" borderId="63" xfId="0" applyBorder="1"/>
    <xf numFmtId="0" fontId="21" fillId="0" borderId="3" xfId="0" applyFont="1" applyBorder="1" applyAlignment="1">
      <alignment vertical="center"/>
    </xf>
    <xf numFmtId="0" fontId="13" fillId="13" borderId="13" xfId="0" applyFont="1" applyFill="1" applyBorder="1" applyAlignment="1">
      <alignment horizontal="center" vertical="center"/>
    </xf>
    <xf numFmtId="0" fontId="11" fillId="13" borderId="59" xfId="0" applyFont="1" applyFill="1" applyBorder="1" applyAlignment="1">
      <alignment horizontal="center" vertical="center"/>
    </xf>
    <xf numFmtId="9" fontId="0" fillId="0" borderId="57" xfId="2" applyFont="1" applyFill="1" applyBorder="1"/>
    <xf numFmtId="165" fontId="0" fillId="0" borderId="0" xfId="1" applyNumberFormat="1" applyFont="1" applyBorder="1"/>
    <xf numFmtId="0" fontId="22" fillId="0" borderId="3" xfId="0" applyFont="1" applyBorder="1"/>
    <xf numFmtId="0" fontId="22" fillId="0" borderId="3" xfId="0" applyFont="1" applyBorder="1" applyAlignment="1">
      <alignment vertical="center"/>
    </xf>
    <xf numFmtId="0" fontId="0" fillId="13" borderId="13" xfId="0" applyFill="1" applyBorder="1"/>
    <xf numFmtId="0" fontId="0" fillId="13" borderId="59" xfId="0" applyFill="1" applyBorder="1"/>
    <xf numFmtId="9" fontId="0" fillId="13" borderId="52" xfId="2" applyFont="1" applyFill="1" applyBorder="1"/>
    <xf numFmtId="0" fontId="12" fillId="0" borderId="3" xfId="0" applyFont="1" applyBorder="1" applyAlignment="1">
      <alignment horizontal="center" vertical="center" wrapText="1"/>
    </xf>
    <xf numFmtId="0" fontId="11" fillId="13" borderId="33" xfId="0" applyFont="1" applyFill="1" applyBorder="1" applyAlignment="1">
      <alignment vertical="center"/>
    </xf>
    <xf numFmtId="0" fontId="13" fillId="10" borderId="33" xfId="0" applyFont="1" applyFill="1" applyBorder="1" applyAlignment="1">
      <alignment horizontal="center" vertical="center"/>
    </xf>
    <xf numFmtId="0" fontId="13" fillId="10" borderId="33" xfId="0" applyFont="1" applyFill="1" applyBorder="1" applyAlignment="1">
      <alignment horizontal="center"/>
    </xf>
    <xf numFmtId="9" fontId="13" fillId="10" borderId="33" xfId="2" applyFont="1" applyFill="1" applyBorder="1" applyAlignment="1">
      <alignment horizontal="center"/>
    </xf>
    <xf numFmtId="9" fontId="0" fillId="10" borderId="33" xfId="2" applyFont="1" applyFill="1" applyBorder="1" applyAlignment="1"/>
    <xf numFmtId="0" fontId="0" fillId="10" borderId="33" xfId="2" applyNumberFormat="1" applyFont="1" applyFill="1" applyBorder="1" applyAlignment="1"/>
    <xf numFmtId="0" fontId="0" fillId="10" borderId="33" xfId="1" applyNumberFormat="1" applyFont="1" applyFill="1" applyBorder="1" applyAlignment="1">
      <alignment horizontal="center"/>
    </xf>
    <xf numFmtId="165" fontId="0" fillId="10" borderId="33" xfId="1" applyNumberFormat="1" applyFont="1" applyFill="1" applyBorder="1" applyAlignment="1"/>
    <xf numFmtId="0" fontId="13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58" xfId="0" applyBorder="1" applyAlignment="1">
      <alignment horizontal="center"/>
    </xf>
    <xf numFmtId="9" fontId="0" fillId="0" borderId="41" xfId="2" applyFont="1" applyFill="1" applyBorder="1" applyAlignment="1"/>
    <xf numFmtId="0" fontId="0" fillId="0" borderId="20" xfId="0" applyBorder="1" applyAlignment="1">
      <alignment horizontal="center"/>
    </xf>
    <xf numFmtId="0" fontId="0" fillId="0" borderId="20" xfId="2" applyNumberFormat="1" applyFont="1" applyFill="1" applyBorder="1" applyAlignment="1"/>
    <xf numFmtId="0" fontId="0" fillId="0" borderId="40" xfId="2" applyNumberFormat="1" applyFont="1" applyFill="1" applyBorder="1" applyAlignment="1"/>
    <xf numFmtId="9" fontId="0" fillId="0" borderId="41" xfId="2" applyFont="1" applyFill="1" applyBorder="1" applyAlignment="1">
      <alignment horizontal="center"/>
    </xf>
    <xf numFmtId="0" fontId="0" fillId="0" borderId="20" xfId="1" applyNumberFormat="1" applyFont="1" applyFill="1" applyBorder="1" applyAlignment="1">
      <alignment horizontal="center"/>
    </xf>
    <xf numFmtId="0" fontId="0" fillId="0" borderId="40" xfId="1" applyNumberFormat="1" applyFont="1" applyFill="1" applyBorder="1" applyAlignment="1">
      <alignment horizontal="center"/>
    </xf>
    <xf numFmtId="165" fontId="0" fillId="0" borderId="17" xfId="1" applyNumberFormat="1" applyFont="1" applyFill="1" applyBorder="1" applyAlignment="1"/>
    <xf numFmtId="165" fontId="0" fillId="0" borderId="57" xfId="1" applyNumberFormat="1" applyFont="1" applyBorder="1"/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9" fontId="0" fillId="0" borderId="21" xfId="2" applyFont="1" applyFill="1" applyBorder="1" applyAlignment="1"/>
    <xf numFmtId="0" fontId="0" fillId="0" borderId="4" xfId="0" applyBorder="1" applyAlignment="1">
      <alignment horizontal="center"/>
    </xf>
    <xf numFmtId="0" fontId="0" fillId="0" borderId="3" xfId="2" applyNumberFormat="1" applyFont="1" applyFill="1" applyBorder="1" applyAlignment="1"/>
    <xf numFmtId="0" fontId="0" fillId="0" borderId="4" xfId="2" applyNumberFormat="1" applyFont="1" applyFill="1" applyBorder="1" applyAlignment="1"/>
    <xf numFmtId="9" fontId="0" fillId="0" borderId="21" xfId="2" applyFont="1" applyFill="1" applyBorder="1" applyAlignment="1">
      <alignment horizontal="center"/>
    </xf>
    <xf numFmtId="0" fontId="0" fillId="0" borderId="3" xfId="1" applyNumberFormat="1" applyFon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165" fontId="0" fillId="0" borderId="21" xfId="1" applyNumberFormat="1" applyFont="1" applyFill="1" applyBorder="1" applyAlignment="1"/>
    <xf numFmtId="0" fontId="12" fillId="0" borderId="10" xfId="0" applyFont="1" applyBorder="1" applyAlignment="1">
      <alignment horizontal="center"/>
    </xf>
    <xf numFmtId="9" fontId="0" fillId="0" borderId="44" xfId="2" applyFont="1" applyFill="1" applyBorder="1" applyAlignment="1"/>
    <xf numFmtId="0" fontId="0" fillId="0" borderId="43" xfId="0" applyBorder="1" applyAlignment="1">
      <alignment horizontal="center"/>
    </xf>
    <xf numFmtId="0" fontId="0" fillId="0" borderId="10" xfId="2" applyNumberFormat="1" applyFont="1" applyFill="1" applyBorder="1" applyAlignment="1"/>
    <xf numFmtId="0" fontId="0" fillId="0" borderId="43" xfId="2" applyNumberFormat="1" applyFont="1" applyFill="1" applyBorder="1" applyAlignment="1"/>
    <xf numFmtId="9" fontId="0" fillId="0" borderId="44" xfId="2" applyFont="1" applyFill="1" applyBorder="1" applyAlignment="1">
      <alignment horizontal="center"/>
    </xf>
    <xf numFmtId="0" fontId="0" fillId="0" borderId="10" xfId="1" applyNumberFormat="1" applyFont="1" applyFill="1" applyBorder="1" applyAlignment="1">
      <alignment horizontal="center"/>
    </xf>
    <xf numFmtId="0" fontId="0" fillId="0" borderId="43" xfId="1" applyNumberFormat="1" applyFont="1" applyFill="1" applyBorder="1" applyAlignment="1">
      <alignment horizontal="center"/>
    </xf>
    <xf numFmtId="165" fontId="0" fillId="0" borderId="44" xfId="1" applyNumberFormat="1" applyFont="1" applyFill="1" applyBorder="1" applyAlignment="1"/>
    <xf numFmtId="165" fontId="0" fillId="0" borderId="23" xfId="1" applyNumberFormat="1" applyFont="1" applyBorder="1"/>
    <xf numFmtId="0" fontId="13" fillId="13" borderId="11" xfId="0" applyFont="1" applyFill="1" applyBorder="1" applyAlignment="1">
      <alignment horizontal="center"/>
    </xf>
    <xf numFmtId="0" fontId="13" fillId="13" borderId="59" xfId="0" applyFont="1" applyFill="1" applyBorder="1" applyAlignment="1">
      <alignment horizontal="center"/>
    </xf>
    <xf numFmtId="0" fontId="0" fillId="13" borderId="12" xfId="0" applyFill="1" applyBorder="1"/>
    <xf numFmtId="0" fontId="0" fillId="13" borderId="2" xfId="0" applyFill="1" applyBorder="1"/>
    <xf numFmtId="9" fontId="0" fillId="13" borderId="52" xfId="2" applyFont="1" applyFill="1" applyBorder="1" applyAlignment="1"/>
    <xf numFmtId="0" fontId="0" fillId="13" borderId="13" xfId="2" applyNumberFormat="1" applyFont="1" applyFill="1" applyBorder="1" applyAlignment="1"/>
    <xf numFmtId="0" fontId="0" fillId="13" borderId="59" xfId="2" applyNumberFormat="1" applyFont="1" applyFill="1" applyBorder="1" applyAlignment="1"/>
    <xf numFmtId="165" fontId="0" fillId="13" borderId="36" xfId="1" applyNumberFormat="1" applyFont="1" applyFill="1" applyBorder="1" applyAlignment="1"/>
    <xf numFmtId="0" fontId="0" fillId="7" borderId="0" xfId="0" applyFill="1"/>
    <xf numFmtId="0" fontId="0" fillId="14" borderId="0" xfId="0" applyFill="1"/>
    <xf numFmtId="0" fontId="0" fillId="10" borderId="33" xfId="0" applyFill="1" applyBorder="1" applyAlignment="1">
      <alignment horizontal="center" vertical="center"/>
    </xf>
    <xf numFmtId="9" fontId="0" fillId="10" borderId="33" xfId="2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5" xfId="2" applyFont="1" applyFill="1" applyBorder="1" applyAlignment="1">
      <alignment horizontal="center" vertical="center"/>
    </xf>
    <xf numFmtId="165" fontId="0" fillId="0" borderId="20" xfId="1" applyNumberFormat="1" applyFont="1" applyFill="1" applyBorder="1" applyAlignment="1">
      <alignment horizontal="center"/>
    </xf>
    <xf numFmtId="165" fontId="0" fillId="0" borderId="40" xfId="1" applyNumberFormat="1" applyFont="1" applyFill="1" applyBorder="1" applyAlignment="1">
      <alignment horizontal="center"/>
    </xf>
    <xf numFmtId="165" fontId="0" fillId="7" borderId="57" xfId="1" applyNumberFormat="1" applyFont="1" applyFill="1" applyBorder="1"/>
    <xf numFmtId="165" fontId="0" fillId="7" borderId="16" xfId="1" applyNumberFormat="1" applyFont="1" applyFill="1" applyBorder="1"/>
    <xf numFmtId="9" fontId="0" fillId="7" borderId="17" xfId="2" applyFont="1" applyFill="1" applyBorder="1"/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Fill="1" applyBorder="1" applyAlignment="1">
      <alignment horizontal="center" vertical="center"/>
    </xf>
    <xf numFmtId="165" fontId="0" fillId="7" borderId="22" xfId="1" applyNumberFormat="1" applyFont="1" applyFill="1" applyBorder="1"/>
    <xf numFmtId="165" fontId="0" fillId="7" borderId="3" xfId="1" applyNumberFormat="1" applyFont="1" applyFill="1" applyBorder="1"/>
    <xf numFmtId="9" fontId="0" fillId="7" borderId="21" xfId="2" applyFont="1" applyFill="1" applyBorder="1"/>
    <xf numFmtId="165" fontId="0" fillId="0" borderId="3" xfId="1" applyNumberFormat="1" applyFont="1" applyFill="1" applyBorder="1" applyAlignment="1">
      <alignment horizontal="center"/>
    </xf>
    <xf numFmtId="165" fontId="0" fillId="0" borderId="4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9" fontId="0" fillId="0" borderId="45" xfId="2" applyFont="1" applyFill="1" applyBorder="1" applyAlignment="1">
      <alignment horizontal="center" vertical="center"/>
    </xf>
    <xf numFmtId="165" fontId="0" fillId="0" borderId="10" xfId="1" applyNumberFormat="1" applyFont="1" applyFill="1" applyBorder="1" applyAlignment="1">
      <alignment horizontal="center"/>
    </xf>
    <xf numFmtId="165" fontId="0" fillId="0" borderId="43" xfId="1" applyNumberFormat="1" applyFont="1" applyFill="1" applyBorder="1" applyAlignment="1">
      <alignment horizontal="center"/>
    </xf>
    <xf numFmtId="165" fontId="0" fillId="7" borderId="23" xfId="1" applyNumberFormat="1" applyFont="1" applyFill="1" applyBorder="1"/>
    <xf numFmtId="165" fontId="0" fillId="7" borderId="24" xfId="1" applyNumberFormat="1" applyFont="1" applyFill="1" applyBorder="1"/>
    <xf numFmtId="9" fontId="0" fillId="7" borderId="25" xfId="2" applyFont="1" applyFill="1" applyBorder="1"/>
    <xf numFmtId="0" fontId="13" fillId="0" borderId="0" xfId="0" applyFont="1" applyAlignment="1">
      <alignment horizontal="center"/>
    </xf>
    <xf numFmtId="0" fontId="2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165" fontId="0" fillId="13" borderId="13" xfId="0" applyNumberFormat="1" applyFill="1" applyBorder="1"/>
    <xf numFmtId="165" fontId="0" fillId="13" borderId="59" xfId="0" applyNumberFormat="1" applyFill="1" applyBorder="1"/>
    <xf numFmtId="0" fontId="12" fillId="0" borderId="0" xfId="0" applyFont="1" applyAlignment="1">
      <alignment horizontal="center"/>
    </xf>
    <xf numFmtId="0" fontId="11" fillId="13" borderId="32" xfId="0" applyFont="1" applyFill="1" applyBorder="1" applyAlignment="1">
      <alignment horizontal="centerContinuous" vertical="center"/>
    </xf>
    <xf numFmtId="0" fontId="11" fillId="13" borderId="33" xfId="0" applyFont="1" applyFill="1" applyBorder="1" applyAlignment="1">
      <alignment horizontal="centerContinuous" vertical="center"/>
    </xf>
    <xf numFmtId="0" fontId="15" fillId="13" borderId="33" xfId="0" applyFont="1" applyFill="1" applyBorder="1" applyAlignment="1">
      <alignment horizontal="centerContinuous" vertical="center"/>
    </xf>
    <xf numFmtId="0" fontId="18" fillId="13" borderId="34" xfId="0" applyFont="1" applyFill="1" applyBorder="1" applyAlignment="1">
      <alignment horizontal="centerContinuous" vertical="center"/>
    </xf>
    <xf numFmtId="0" fontId="13" fillId="13" borderId="38" xfId="0" applyFont="1" applyFill="1" applyBorder="1" applyAlignment="1">
      <alignment horizontal="center"/>
    </xf>
    <xf numFmtId="0" fontId="0" fillId="13" borderId="34" xfId="0" applyFill="1" applyBorder="1"/>
    <xf numFmtId="9" fontId="0" fillId="13" borderId="36" xfId="2" applyFont="1" applyFill="1" applyBorder="1" applyAlignment="1"/>
    <xf numFmtId="0" fontId="0" fillId="13" borderId="35" xfId="0" applyFill="1" applyBorder="1"/>
    <xf numFmtId="0" fontId="0" fillId="13" borderId="38" xfId="0" applyFill="1" applyBorder="1"/>
    <xf numFmtId="0" fontId="0" fillId="13" borderId="35" xfId="2" applyNumberFormat="1" applyFont="1" applyFill="1" applyBorder="1" applyAlignment="1"/>
    <xf numFmtId="0" fontId="0" fillId="13" borderId="38" xfId="2" applyNumberFormat="1" applyFont="1" applyFill="1" applyBorder="1" applyAlignment="1"/>
    <xf numFmtId="1" fontId="0" fillId="10" borderId="33" xfId="0" applyNumberFormat="1" applyFill="1" applyBorder="1"/>
    <xf numFmtId="1" fontId="0" fillId="10" borderId="33" xfId="2" applyNumberFormat="1" applyFont="1" applyFill="1" applyBorder="1" applyAlignment="1"/>
    <xf numFmtId="1" fontId="0" fillId="0" borderId="40" xfId="0" applyNumberFormat="1" applyBorder="1"/>
    <xf numFmtId="1" fontId="0" fillId="0" borderId="20" xfId="2" applyNumberFormat="1" applyFont="1" applyFill="1" applyBorder="1" applyAlignment="1"/>
    <xf numFmtId="1" fontId="0" fillId="0" borderId="40" xfId="2" applyNumberFormat="1" applyFont="1" applyFill="1" applyBorder="1" applyAlignment="1"/>
    <xf numFmtId="9" fontId="0" fillId="13" borderId="31" xfId="2" applyFont="1" applyFill="1" applyBorder="1"/>
    <xf numFmtId="165" fontId="0" fillId="0" borderId="14" xfId="1" applyNumberFormat="1" applyFont="1" applyFill="1" applyBorder="1" applyAlignment="1"/>
    <xf numFmtId="165" fontId="0" fillId="0" borderId="4" xfId="1" applyNumberFormat="1" applyFont="1" applyFill="1" applyBorder="1" applyAlignment="1"/>
    <xf numFmtId="165" fontId="0" fillId="0" borderId="24" xfId="1" applyNumberFormat="1" applyFont="1" applyFill="1" applyBorder="1"/>
    <xf numFmtId="165" fontId="0" fillId="0" borderId="7" xfId="1" applyNumberFormat="1" applyFont="1" applyFill="1" applyBorder="1" applyAlignment="1"/>
    <xf numFmtId="165" fontId="0" fillId="7" borderId="42" xfId="1" applyNumberFormat="1" applyFont="1" applyFill="1" applyBorder="1"/>
    <xf numFmtId="165" fontId="0" fillId="7" borderId="10" xfId="1" applyNumberFormat="1" applyFont="1" applyFill="1" applyBorder="1"/>
    <xf numFmtId="9" fontId="0" fillId="7" borderId="44" xfId="2" applyFont="1" applyFill="1" applyBorder="1"/>
    <xf numFmtId="165" fontId="0" fillId="13" borderId="13" xfId="1" applyNumberFormat="1" applyFont="1" applyFill="1" applyBorder="1"/>
    <xf numFmtId="165" fontId="0" fillId="13" borderId="59" xfId="1" applyNumberFormat="1" applyFont="1" applyFill="1" applyBorder="1" applyAlignment="1"/>
    <xf numFmtId="0" fontId="13" fillId="0" borderId="4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12" fillId="0" borderId="40" xfId="0" applyFont="1" applyBorder="1" applyAlignment="1">
      <alignment horizontal="center" vertical="center"/>
    </xf>
    <xf numFmtId="167" fontId="0" fillId="0" borderId="6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7" fontId="0" fillId="0" borderId="3" xfId="0" applyNumberFormat="1" applyBorder="1"/>
    <xf numFmtId="167" fontId="0" fillId="0" borderId="4" xfId="0" applyNumberFormat="1" applyBorder="1"/>
    <xf numFmtId="0" fontId="0" fillId="0" borderId="22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9" fontId="0" fillId="0" borderId="21" xfId="2" applyFont="1" applyFill="1" applyBorder="1" applyAlignment="1">
      <alignment horizontal="centerContinuous" vertical="center"/>
    </xf>
    <xf numFmtId="164" fontId="0" fillId="0" borderId="3" xfId="1" applyFont="1" applyFill="1" applyBorder="1" applyAlignment="1">
      <alignment horizontal="center"/>
    </xf>
    <xf numFmtId="164" fontId="0" fillId="0" borderId="4" xfId="1" applyFont="1" applyFill="1" applyBorder="1" applyAlignment="1">
      <alignment horizontal="center"/>
    </xf>
    <xf numFmtId="0" fontId="0" fillId="0" borderId="54" xfId="0" applyBorder="1" applyAlignment="1">
      <alignment horizontal="centerContinuous" vertical="center"/>
    </xf>
    <xf numFmtId="0" fontId="0" fillId="0" borderId="46" xfId="0" applyBorder="1" applyAlignment="1">
      <alignment horizontal="centerContinuous" vertical="center"/>
    </xf>
    <xf numFmtId="9" fontId="0" fillId="0" borderId="47" xfId="2" applyFont="1" applyFill="1" applyBorder="1" applyAlignment="1">
      <alignment horizontal="centerContinuous" vertical="center"/>
    </xf>
    <xf numFmtId="1" fontId="0" fillId="0" borderId="64" xfId="0" applyNumberFormat="1" applyBorder="1" applyAlignment="1">
      <alignment horizontal="center"/>
    </xf>
    <xf numFmtId="0" fontId="0" fillId="0" borderId="23" xfId="0" applyBorder="1" applyAlignment="1">
      <alignment horizontal="centerContinuous" vertical="center"/>
    </xf>
    <xf numFmtId="0" fontId="0" fillId="0" borderId="24" xfId="0" applyBorder="1" applyAlignment="1">
      <alignment horizontal="centerContinuous" vertical="center"/>
    </xf>
    <xf numFmtId="9" fontId="0" fillId="0" borderId="25" xfId="2" applyFont="1" applyFill="1" applyBorder="1" applyAlignment="1">
      <alignment horizontal="centerContinuous" vertical="center"/>
    </xf>
    <xf numFmtId="9" fontId="0" fillId="0" borderId="17" xfId="2" applyFont="1" applyFill="1" applyBorder="1" applyAlignment="1"/>
    <xf numFmtId="9" fontId="0" fillId="0" borderId="40" xfId="2" applyFont="1" applyFill="1" applyBorder="1"/>
    <xf numFmtId="0" fontId="0" fillId="0" borderId="57" xfId="0" applyBorder="1"/>
    <xf numFmtId="0" fontId="0" fillId="0" borderId="14" xfId="0" applyBorder="1"/>
    <xf numFmtId="9" fontId="0" fillId="0" borderId="17" xfId="2" applyFont="1" applyFill="1" applyBorder="1"/>
    <xf numFmtId="9" fontId="0" fillId="0" borderId="17" xfId="2" applyFont="1" applyFill="1" applyBorder="1" applyAlignment="1">
      <alignment horizontal="center"/>
    </xf>
    <xf numFmtId="0" fontId="0" fillId="0" borderId="57" xfId="2" applyNumberFormat="1" applyFont="1" applyFill="1" applyBorder="1" applyAlignment="1"/>
    <xf numFmtId="0" fontId="0" fillId="0" borderId="14" xfId="2" applyNumberFormat="1" applyFont="1" applyFill="1" applyBorder="1" applyAlignment="1"/>
    <xf numFmtId="9" fontId="0" fillId="0" borderId="4" xfId="2" applyFont="1" applyFill="1" applyBorder="1"/>
    <xf numFmtId="0" fontId="0" fillId="0" borderId="22" xfId="2" applyNumberFormat="1" applyFont="1" applyFill="1" applyBorder="1" applyAlignment="1"/>
    <xf numFmtId="165" fontId="0" fillId="0" borderId="22" xfId="1" applyNumberFormat="1" applyFont="1" applyFill="1" applyBorder="1" applyAlignment="1">
      <alignment horizontal="center"/>
    </xf>
    <xf numFmtId="9" fontId="0" fillId="0" borderId="43" xfId="2" applyFont="1" applyFill="1" applyBorder="1"/>
    <xf numFmtId="0" fontId="0" fillId="0" borderId="42" xfId="2" applyNumberFormat="1" applyFont="1" applyFill="1" applyBorder="1" applyAlignment="1"/>
    <xf numFmtId="165" fontId="0" fillId="0" borderId="42" xfId="1" applyNumberFormat="1" applyFont="1" applyFill="1" applyBorder="1" applyAlignment="1">
      <alignment horizontal="center"/>
    </xf>
    <xf numFmtId="0" fontId="0" fillId="13" borderId="28" xfId="0" applyFill="1" applyBorder="1"/>
    <xf numFmtId="0" fontId="13" fillId="13" borderId="37" xfId="0" applyFont="1" applyFill="1" applyBorder="1" applyAlignment="1">
      <alignment horizontal="center"/>
    </xf>
    <xf numFmtId="0" fontId="11" fillId="13" borderId="37" xfId="0" applyFont="1" applyFill="1" applyBorder="1" applyAlignment="1">
      <alignment horizontal="center"/>
    </xf>
    <xf numFmtId="9" fontId="11" fillId="13" borderId="34" xfId="2" applyFont="1" applyFill="1" applyBorder="1" applyAlignment="1">
      <alignment horizontal="center"/>
    </xf>
    <xf numFmtId="0" fontId="11" fillId="13" borderId="35" xfId="0" applyFont="1" applyFill="1" applyBorder="1" applyAlignment="1">
      <alignment horizontal="center"/>
    </xf>
    <xf numFmtId="0" fontId="0" fillId="13" borderId="37" xfId="0" applyFill="1" applyBorder="1"/>
    <xf numFmtId="9" fontId="0" fillId="13" borderId="38" xfId="2" applyFont="1" applyFill="1" applyBorder="1"/>
    <xf numFmtId="0" fontId="0" fillId="13" borderId="37" xfId="2" applyNumberFormat="1" applyFont="1" applyFill="1" applyBorder="1" applyAlignment="1"/>
    <xf numFmtId="0" fontId="15" fillId="13" borderId="37" xfId="0" applyFont="1" applyFill="1" applyBorder="1" applyAlignment="1">
      <alignment horizontal="center" vertical="center"/>
    </xf>
    <xf numFmtId="9" fontId="15" fillId="13" borderId="34" xfId="2" applyFont="1" applyFill="1" applyBorder="1" applyAlignment="1">
      <alignment horizontal="center" vertical="center"/>
    </xf>
    <xf numFmtId="0" fontId="15" fillId="13" borderId="35" xfId="0" applyFont="1" applyFill="1" applyBorder="1" applyAlignment="1">
      <alignment horizontal="center" vertical="center"/>
    </xf>
    <xf numFmtId="9" fontId="15" fillId="13" borderId="36" xfId="2" applyFont="1" applyFill="1" applyBorder="1" applyAlignment="1">
      <alignment horizontal="center" vertical="center"/>
    </xf>
    <xf numFmtId="0" fontId="15" fillId="13" borderId="34" xfId="0" applyFont="1" applyFill="1" applyBorder="1" applyAlignment="1">
      <alignment horizontal="center" vertical="center"/>
    </xf>
    <xf numFmtId="9" fontId="15" fillId="13" borderId="38" xfId="2" applyFont="1" applyFill="1" applyBorder="1" applyAlignment="1">
      <alignment horizontal="center" vertical="center"/>
    </xf>
    <xf numFmtId="165" fontId="15" fillId="13" borderId="37" xfId="1" applyNumberFormat="1" applyFont="1" applyFill="1" applyBorder="1" applyAlignment="1">
      <alignment horizontal="center" vertical="center"/>
    </xf>
    <xf numFmtId="165" fontId="15" fillId="13" borderId="35" xfId="1" applyNumberFormat="1" applyFont="1" applyFill="1" applyBorder="1" applyAlignment="1">
      <alignment horizontal="center" vertical="center"/>
    </xf>
    <xf numFmtId="165" fontId="15" fillId="13" borderId="36" xfId="1" applyNumberFormat="1" applyFont="1" applyFill="1" applyBorder="1" applyAlignment="1">
      <alignment horizontal="center" vertical="center"/>
    </xf>
    <xf numFmtId="165" fontId="15" fillId="13" borderId="26" xfId="1" applyNumberFormat="1" applyFont="1" applyFill="1" applyBorder="1" applyAlignment="1">
      <alignment horizontal="center" vertical="center"/>
    </xf>
    <xf numFmtId="165" fontId="15" fillId="13" borderId="29" xfId="1" applyNumberFormat="1" applyFont="1" applyFill="1" applyBorder="1" applyAlignment="1">
      <alignment horizontal="center" vertical="center"/>
    </xf>
    <xf numFmtId="9" fontId="15" fillId="13" borderId="65" xfId="2" applyFont="1" applyFill="1" applyBorder="1" applyAlignment="1">
      <alignment horizontal="center" vertical="center"/>
    </xf>
    <xf numFmtId="0" fontId="0" fillId="15" borderId="0" xfId="0" applyFill="1"/>
    <xf numFmtId="14" fontId="0" fillId="0" borderId="0" xfId="2" applyNumberFormat="1" applyFont="1"/>
    <xf numFmtId="14" fontId="11" fillId="0" borderId="32" xfId="0" applyNumberFormat="1" applyFont="1" applyBorder="1" applyAlignment="1">
      <alignment horizontal="centerContinuous"/>
    </xf>
    <xf numFmtId="0" fontId="11" fillId="0" borderId="33" xfId="0" applyFont="1" applyBorder="1" applyAlignment="1">
      <alignment horizontal="centerContinuous"/>
    </xf>
    <xf numFmtId="165" fontId="11" fillId="0" borderId="33" xfId="1" applyNumberFormat="1" applyFont="1" applyBorder="1" applyAlignment="1">
      <alignment horizontal="centerContinuous"/>
    </xf>
    <xf numFmtId="14" fontId="11" fillId="0" borderId="49" xfId="0" applyNumberFormat="1" applyFont="1" applyBorder="1" applyAlignment="1">
      <alignment horizontal="center"/>
    </xf>
    <xf numFmtId="0" fontId="11" fillId="2" borderId="33" xfId="0" applyFont="1" applyFill="1" applyBorder="1" applyAlignment="1">
      <alignment horizontal="centerContinuous"/>
    </xf>
    <xf numFmtId="0" fontId="11" fillId="3" borderId="0" xfId="0" applyFont="1" applyFill="1" applyAlignment="1">
      <alignment horizontal="center"/>
    </xf>
    <xf numFmtId="0" fontId="11" fillId="4" borderId="27" xfId="0" applyFont="1" applyFill="1" applyBorder="1" applyAlignment="1">
      <alignment horizontal="centerContinuous"/>
    </xf>
    <xf numFmtId="0" fontId="11" fillId="4" borderId="30" xfId="0" applyFont="1" applyFill="1" applyBorder="1" applyAlignment="1">
      <alignment horizontal="centerContinuous"/>
    </xf>
    <xf numFmtId="0" fontId="11" fillId="5" borderId="49" xfId="0" applyFont="1" applyFill="1" applyBorder="1"/>
    <xf numFmtId="0" fontId="11" fillId="5" borderId="27" xfId="0" applyFont="1" applyFill="1" applyBorder="1"/>
    <xf numFmtId="0" fontId="11" fillId="5" borderId="30" xfId="0" applyFont="1" applyFill="1" applyBorder="1"/>
    <xf numFmtId="14" fontId="11" fillId="0" borderId="0" xfId="2" applyNumberFormat="1" applyFont="1" applyAlignment="1">
      <alignment horizontal="center" vertical="center" wrapText="1"/>
    </xf>
    <xf numFmtId="14" fontId="11" fillId="0" borderId="28" xfId="0" applyNumberFormat="1" applyFont="1" applyBorder="1" applyAlignment="1">
      <alignment horizontal="center" vertical="center" wrapText="1"/>
    </xf>
    <xf numFmtId="0" fontId="11" fillId="0" borderId="66" xfId="0" applyFont="1" applyBorder="1" applyAlignment="1">
      <alignment vertical="center" wrapText="1"/>
    </xf>
    <xf numFmtId="0" fontId="11" fillId="0" borderId="67" xfId="0" applyFont="1" applyBorder="1" applyAlignment="1">
      <alignment vertical="center" wrapText="1"/>
    </xf>
    <xf numFmtId="0" fontId="11" fillId="0" borderId="67" xfId="0" applyFont="1" applyBorder="1" applyAlignment="1">
      <alignment horizontal="center" vertical="center" wrapText="1"/>
    </xf>
    <xf numFmtId="9" fontId="11" fillId="0" borderId="68" xfId="2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Continuous" vertical="center" wrapText="1"/>
    </xf>
    <xf numFmtId="0" fontId="12" fillId="0" borderId="33" xfId="0" applyFont="1" applyBorder="1" applyAlignment="1">
      <alignment horizontal="centerContinuous" vertical="center" wrapText="1"/>
    </xf>
    <xf numFmtId="0" fontId="12" fillId="0" borderId="39" xfId="0" applyFont="1" applyBorder="1" applyAlignment="1">
      <alignment horizontal="centerContinuous" vertical="center" wrapText="1"/>
    </xf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  <xf numFmtId="0" fontId="10" fillId="0" borderId="0" xfId="3" applyAlignment="1"/>
    <xf numFmtId="0" fontId="10" fillId="0" borderId="0" xfId="3" applyAlignment="1">
      <alignment horizontal="center"/>
    </xf>
    <xf numFmtId="165" fontId="0" fillId="0" borderId="0" xfId="4" applyNumberFormat="1" applyFont="1" applyAlignment="1"/>
    <xf numFmtId="9" fontId="0" fillId="0" borderId="0" xfId="5" applyFont="1" applyAlignment="1"/>
    <xf numFmtId="165" fontId="0" fillId="0" borderId="69" xfId="4" applyNumberFormat="1" applyFont="1" applyBorder="1" applyAlignment="1"/>
    <xf numFmtId="9" fontId="0" fillId="0" borderId="69" xfId="5" applyFont="1" applyBorder="1" applyAlignment="1">
      <alignment horizontal="right"/>
    </xf>
    <xf numFmtId="0" fontId="10" fillId="0" borderId="69" xfId="3" applyBorder="1" applyAlignment="1">
      <alignment horizontal="center"/>
    </xf>
    <xf numFmtId="165" fontId="0" fillId="0" borderId="70" xfId="4" applyNumberFormat="1" applyFont="1" applyBorder="1" applyAlignment="1"/>
    <xf numFmtId="9" fontId="0" fillId="0" borderId="70" xfId="5" applyFont="1" applyBorder="1" applyAlignment="1">
      <alignment horizontal="right"/>
    </xf>
    <xf numFmtId="0" fontId="10" fillId="0" borderId="70" xfId="3" applyBorder="1" applyAlignment="1">
      <alignment horizontal="center"/>
    </xf>
    <xf numFmtId="9" fontId="0" fillId="0" borderId="70" xfId="5" applyFont="1" applyBorder="1" applyAlignment="1"/>
    <xf numFmtId="9" fontId="0" fillId="0" borderId="70" xfId="5" applyFont="1" applyBorder="1" applyAlignment="1">
      <alignment horizontal="center"/>
    </xf>
    <xf numFmtId="37" fontId="10" fillId="0" borderId="70" xfId="3" applyNumberFormat="1" applyBorder="1" applyAlignment="1">
      <alignment horizontal="center"/>
    </xf>
    <xf numFmtId="165" fontId="0" fillId="0" borderId="71" xfId="4" applyNumberFormat="1" applyFont="1" applyBorder="1" applyAlignment="1"/>
    <xf numFmtId="9" fontId="0" fillId="0" borderId="71" xfId="5" applyFont="1" applyBorder="1" applyAlignment="1">
      <alignment horizontal="center"/>
    </xf>
    <xf numFmtId="37" fontId="10" fillId="0" borderId="72" xfId="3" applyNumberFormat="1" applyBorder="1" applyAlignment="1">
      <alignment horizontal="center"/>
    </xf>
    <xf numFmtId="165" fontId="0" fillId="0" borderId="72" xfId="4" applyNumberFormat="1" applyFont="1" applyBorder="1" applyAlignment="1"/>
    <xf numFmtId="9" fontId="0" fillId="0" borderId="72" xfId="5" applyFont="1" applyBorder="1" applyAlignment="1">
      <alignment horizontal="center"/>
    </xf>
    <xf numFmtId="0" fontId="10" fillId="0" borderId="5" xfId="3" applyBorder="1" applyAlignment="1">
      <alignment horizontal="center"/>
    </xf>
    <xf numFmtId="9" fontId="0" fillId="0" borderId="0" xfId="5" applyFont="1" applyAlignment="1">
      <alignment vertical="center"/>
    </xf>
    <xf numFmtId="0" fontId="10" fillId="0" borderId="0" xfId="3">
      <alignment vertical="center"/>
    </xf>
    <xf numFmtId="0" fontId="11" fillId="0" borderId="0" xfId="3" applyFont="1" applyAlignment="1"/>
    <xf numFmtId="0" fontId="10" fillId="16" borderId="73" xfId="3" applyFill="1" applyBorder="1">
      <alignment vertical="center"/>
    </xf>
    <xf numFmtId="0" fontId="10" fillId="16" borderId="74" xfId="3" applyFill="1" applyBorder="1">
      <alignment vertical="center"/>
    </xf>
    <xf numFmtId="0" fontId="10" fillId="16" borderId="74" xfId="3" applyFill="1" applyBorder="1" applyAlignment="1">
      <alignment horizontal="center" vertical="center"/>
    </xf>
    <xf numFmtId="0" fontId="13" fillId="17" borderId="33" xfId="3" applyFont="1" applyFill="1" applyBorder="1" applyAlignment="1">
      <alignment horizontal="center" vertical="center"/>
    </xf>
    <xf numFmtId="0" fontId="13" fillId="17" borderId="28" xfId="3" applyFont="1" applyFill="1" applyBorder="1" applyAlignment="1">
      <alignment horizontal="center" vertical="center"/>
    </xf>
    <xf numFmtId="0" fontId="11" fillId="0" borderId="0" xfId="3" applyFont="1">
      <alignment vertical="center"/>
    </xf>
    <xf numFmtId="0" fontId="13" fillId="16" borderId="37" xfId="3" applyFont="1" applyFill="1" applyBorder="1" applyAlignment="1">
      <alignment horizontal="left" vertical="center"/>
    </xf>
    <xf numFmtId="0" fontId="13" fillId="16" borderId="35" xfId="3" applyFont="1" applyFill="1" applyBorder="1" applyAlignment="1">
      <alignment horizontal="left" vertical="center"/>
    </xf>
    <xf numFmtId="0" fontId="13" fillId="16" borderId="33" xfId="3" applyFont="1" applyFill="1" applyBorder="1" applyAlignment="1">
      <alignment horizontal="center" vertical="center" wrapText="1"/>
    </xf>
    <xf numFmtId="165" fontId="11" fillId="16" borderId="37" xfId="4" applyNumberFormat="1" applyFont="1" applyFill="1" applyBorder="1" applyAlignment="1">
      <alignment horizontal="center" vertical="center" wrapText="1"/>
    </xf>
    <xf numFmtId="9" fontId="11" fillId="16" borderId="36" xfId="5" applyFont="1" applyFill="1" applyBorder="1" applyAlignment="1">
      <alignment horizontal="center" vertical="center" wrapText="1"/>
    </xf>
    <xf numFmtId="9" fontId="11" fillId="6" borderId="28" xfId="5" applyFont="1" applyFill="1" applyBorder="1" applyAlignment="1">
      <alignment vertical="center" wrapText="1"/>
    </xf>
    <xf numFmtId="165" fontId="11" fillId="17" borderId="35" xfId="4" applyNumberFormat="1" applyFont="1" applyFill="1" applyBorder="1" applyAlignment="1">
      <alignment horizontal="center" vertical="center" wrapText="1"/>
    </xf>
    <xf numFmtId="9" fontId="11" fillId="17" borderId="36" xfId="5" applyFont="1" applyFill="1" applyBorder="1" applyAlignment="1">
      <alignment horizontal="center" vertical="center" wrapText="1"/>
    </xf>
    <xf numFmtId="9" fontId="11" fillId="17" borderId="28" xfId="5" applyFont="1" applyFill="1" applyBorder="1" applyAlignment="1">
      <alignment horizontal="center" vertical="center" wrapText="1"/>
    </xf>
    <xf numFmtId="0" fontId="11" fillId="0" borderId="46" xfId="3" applyFont="1" applyBorder="1" applyAlignment="1"/>
    <xf numFmtId="0" fontId="11" fillId="0" borderId="0" xfId="3" applyFont="1" applyAlignment="1">
      <alignment horizontal="center"/>
    </xf>
    <xf numFmtId="37" fontId="0" fillId="0" borderId="54" xfId="4" applyNumberFormat="1" applyFont="1" applyBorder="1" applyAlignment="1">
      <alignment horizontal="center"/>
    </xf>
    <xf numFmtId="37" fontId="0" fillId="0" borderId="47" xfId="5" applyNumberFormat="1" applyFont="1" applyBorder="1" applyAlignment="1">
      <alignment horizontal="center"/>
    </xf>
    <xf numFmtId="37" fontId="0" fillId="0" borderId="56" xfId="5" applyNumberFormat="1" applyFont="1" applyBorder="1" applyAlignment="1">
      <alignment horizontal="center"/>
    </xf>
    <xf numFmtId="37" fontId="0" fillId="0" borderId="0" xfId="5" applyNumberFormat="1" applyFont="1" applyBorder="1" applyAlignment="1">
      <alignment horizontal="center"/>
    </xf>
    <xf numFmtId="37" fontId="0" fillId="0" borderId="46" xfId="5" applyNumberFormat="1" applyFont="1" applyBorder="1" applyAlignment="1">
      <alignment horizontal="center"/>
    </xf>
    <xf numFmtId="0" fontId="10" fillId="0" borderId="56" xfId="3" applyBorder="1" applyAlignment="1"/>
    <xf numFmtId="0" fontId="11" fillId="10" borderId="37" xfId="3" applyFont="1" applyFill="1" applyBorder="1" applyAlignment="1"/>
    <xf numFmtId="0" fontId="11" fillId="10" borderId="35" xfId="3" applyFont="1" applyFill="1" applyBorder="1" applyAlignment="1"/>
    <xf numFmtId="0" fontId="11" fillId="10" borderId="38" xfId="4" applyNumberFormat="1" applyFont="1" applyFill="1" applyBorder="1" applyAlignment="1">
      <alignment horizontal="center"/>
    </xf>
    <xf numFmtId="37" fontId="11" fillId="10" borderId="37" xfId="4" applyNumberFormat="1" applyFont="1" applyFill="1" applyBorder="1" applyAlignment="1">
      <alignment horizontal="center"/>
    </xf>
    <xf numFmtId="37" fontId="11" fillId="10" borderId="36" xfId="4" applyNumberFormat="1" applyFont="1" applyFill="1" applyBorder="1" applyAlignment="1">
      <alignment horizontal="center"/>
    </xf>
    <xf numFmtId="37" fontId="11" fillId="10" borderId="38" xfId="4" applyNumberFormat="1" applyFont="1" applyFill="1" applyBorder="1" applyAlignment="1">
      <alignment horizontal="center"/>
    </xf>
    <xf numFmtId="37" fontId="11" fillId="10" borderId="35" xfId="4" applyNumberFormat="1" applyFont="1" applyFill="1" applyBorder="1" applyAlignment="1">
      <alignment horizontal="center"/>
    </xf>
    <xf numFmtId="37" fontId="11" fillId="10" borderId="28" xfId="4" applyNumberFormat="1" applyFont="1" applyFill="1" applyBorder="1" applyAlignment="1">
      <alignment horizontal="center"/>
    </xf>
    <xf numFmtId="0" fontId="11" fillId="0" borderId="50" xfId="3" applyFont="1" applyBorder="1" applyAlignment="1"/>
    <xf numFmtId="0" fontId="10" fillId="0" borderId="48" xfId="3" applyBorder="1" applyAlignment="1"/>
    <xf numFmtId="37" fontId="9" fillId="0" borderId="56" xfId="5" applyNumberFormat="1" applyFont="1" applyBorder="1" applyAlignment="1">
      <alignment horizontal="center"/>
    </xf>
    <xf numFmtId="0" fontId="9" fillId="0" borderId="28" xfId="3" applyFont="1" applyBorder="1" applyAlignment="1"/>
    <xf numFmtId="0" fontId="11" fillId="10" borderId="11" xfId="3" applyFont="1" applyFill="1" applyBorder="1" applyAlignment="1"/>
    <xf numFmtId="0" fontId="11" fillId="10" borderId="13" xfId="3" applyFont="1" applyFill="1" applyBorder="1" applyAlignment="1"/>
    <xf numFmtId="0" fontId="11" fillId="10" borderId="59" xfId="4" applyNumberFormat="1" applyFont="1" applyFill="1" applyBorder="1" applyAlignment="1">
      <alignment horizontal="center"/>
    </xf>
    <xf numFmtId="37" fontId="11" fillId="10" borderId="11" xfId="4" applyNumberFormat="1" applyFont="1" applyFill="1" applyBorder="1" applyAlignment="1">
      <alignment horizontal="center"/>
    </xf>
    <xf numFmtId="37" fontId="11" fillId="10" borderId="52" xfId="4" applyNumberFormat="1" applyFont="1" applyFill="1" applyBorder="1" applyAlignment="1">
      <alignment horizontal="center"/>
    </xf>
    <xf numFmtId="9" fontId="0" fillId="0" borderId="0" xfId="5" applyFont="1" applyFill="1" applyBorder="1" applyAlignment="1"/>
    <xf numFmtId="0" fontId="11" fillId="0" borderId="48" xfId="3" applyFont="1" applyBorder="1" applyAlignment="1"/>
    <xf numFmtId="0" fontId="9" fillId="0" borderId="48" xfId="3" applyFont="1" applyBorder="1" applyAlignment="1"/>
    <xf numFmtId="0" fontId="11" fillId="0" borderId="1" xfId="4" applyNumberFormat="1" applyFont="1" applyFill="1" applyBorder="1" applyAlignment="1">
      <alignment horizontal="center"/>
    </xf>
    <xf numFmtId="37" fontId="11" fillId="0" borderId="48" xfId="4" applyNumberFormat="1" applyFont="1" applyFill="1" applyBorder="1" applyAlignment="1">
      <alignment horizontal="center"/>
    </xf>
    <xf numFmtId="37" fontId="0" fillId="0" borderId="31" xfId="5" applyNumberFormat="1" applyFont="1" applyBorder="1" applyAlignment="1">
      <alignment horizontal="center"/>
    </xf>
    <xf numFmtId="37" fontId="0" fillId="0" borderId="48" xfId="5" applyNumberFormat="1" applyFont="1" applyBorder="1" applyAlignment="1">
      <alignment horizontal="center"/>
    </xf>
    <xf numFmtId="37" fontId="11" fillId="0" borderId="1" xfId="4" applyNumberFormat="1" applyFont="1" applyFill="1" applyBorder="1" applyAlignment="1">
      <alignment horizontal="center"/>
    </xf>
    <xf numFmtId="0" fontId="11" fillId="0" borderId="56" xfId="3" applyFont="1" applyBorder="1" applyAlignment="1"/>
    <xf numFmtId="0" fontId="11" fillId="0" borderId="51" xfId="4" applyNumberFormat="1" applyFont="1" applyFill="1" applyBorder="1" applyAlignment="1">
      <alignment horizontal="center"/>
    </xf>
    <xf numFmtId="37" fontId="11" fillId="0" borderId="56" xfId="4" applyNumberFormat="1" applyFont="1" applyFill="1" applyBorder="1" applyAlignment="1">
      <alignment horizontal="center"/>
    </xf>
    <xf numFmtId="37" fontId="0" fillId="0" borderId="60" xfId="5" applyNumberFormat="1" applyFont="1" applyBorder="1" applyAlignment="1">
      <alignment horizontal="center"/>
    </xf>
    <xf numFmtId="37" fontId="11" fillId="0" borderId="51" xfId="4" applyNumberFormat="1" applyFont="1" applyFill="1" applyBorder="1" applyAlignment="1">
      <alignment horizontal="center"/>
    </xf>
    <xf numFmtId="0" fontId="11" fillId="0" borderId="49" xfId="4" applyNumberFormat="1" applyFont="1" applyFill="1" applyBorder="1" applyAlignment="1">
      <alignment horizontal="center"/>
    </xf>
    <xf numFmtId="37" fontId="11" fillId="0" borderId="50" xfId="4" applyNumberFormat="1" applyFont="1" applyFill="1" applyBorder="1" applyAlignment="1">
      <alignment horizontal="center"/>
    </xf>
    <xf numFmtId="37" fontId="0" fillId="0" borderId="30" xfId="5" applyNumberFormat="1" applyFont="1" applyBorder="1" applyAlignment="1">
      <alignment horizontal="center"/>
    </xf>
    <xf numFmtId="37" fontId="0" fillId="0" borderId="50" xfId="5" applyNumberFormat="1" applyFont="1" applyBorder="1" applyAlignment="1">
      <alignment horizontal="center"/>
    </xf>
    <xf numFmtId="37" fontId="11" fillId="0" borderId="49" xfId="4" applyNumberFormat="1" applyFont="1" applyFill="1" applyBorder="1" applyAlignment="1">
      <alignment horizontal="center"/>
    </xf>
    <xf numFmtId="0" fontId="11" fillId="10" borderId="26" xfId="3" applyFont="1" applyFill="1" applyBorder="1" applyAlignment="1"/>
    <xf numFmtId="0" fontId="11" fillId="10" borderId="29" xfId="3" applyFont="1" applyFill="1" applyBorder="1" applyAlignment="1"/>
    <xf numFmtId="0" fontId="11" fillId="10" borderId="75" xfId="4" applyNumberFormat="1" applyFont="1" applyFill="1" applyBorder="1" applyAlignment="1">
      <alignment horizontal="center"/>
    </xf>
    <xf numFmtId="37" fontId="11" fillId="10" borderId="26" xfId="4" applyNumberFormat="1" applyFont="1" applyFill="1" applyBorder="1" applyAlignment="1">
      <alignment horizontal="center"/>
    </xf>
    <xf numFmtId="37" fontId="11" fillId="10" borderId="65" xfId="4" applyNumberFormat="1" applyFont="1" applyFill="1" applyBorder="1" applyAlignment="1">
      <alignment horizontal="center"/>
    </xf>
    <xf numFmtId="37" fontId="11" fillId="10" borderId="75" xfId="4" applyNumberFormat="1" applyFont="1" applyFill="1" applyBorder="1" applyAlignment="1">
      <alignment horizontal="center"/>
    </xf>
    <xf numFmtId="0" fontId="24" fillId="18" borderId="38" xfId="4" applyNumberFormat="1" applyFont="1" applyFill="1" applyBorder="1" applyAlignment="1">
      <alignment horizontal="center"/>
    </xf>
    <xf numFmtId="37" fontId="24" fillId="18" borderId="37" xfId="4" applyNumberFormat="1" applyFont="1" applyFill="1" applyBorder="1" applyAlignment="1">
      <alignment horizontal="center"/>
    </xf>
    <xf numFmtId="37" fontId="24" fillId="18" borderId="36" xfId="4" applyNumberFormat="1" applyFont="1" applyFill="1" applyBorder="1" applyAlignment="1">
      <alignment horizontal="center"/>
    </xf>
    <xf numFmtId="37" fontId="24" fillId="18" borderId="38" xfId="4" applyNumberFormat="1" applyFont="1" applyFill="1" applyBorder="1" applyAlignment="1">
      <alignment horizontal="center"/>
    </xf>
    <xf numFmtId="9" fontId="11" fillId="0" borderId="50" xfId="5" applyFont="1" applyBorder="1" applyAlignment="1"/>
    <xf numFmtId="164" fontId="0" fillId="0" borderId="0" xfId="4" applyNumberFormat="1" applyFont="1" applyAlignment="1"/>
    <xf numFmtId="0" fontId="9" fillId="0" borderId="46" xfId="3" applyFont="1" applyBorder="1" applyAlignment="1"/>
    <xf numFmtId="0" fontId="11" fillId="0" borderId="28" xfId="3" applyFont="1" applyBorder="1" applyAlignment="1"/>
    <xf numFmtId="37" fontId="11" fillId="10" borderId="29" xfId="4" applyNumberFormat="1" applyFont="1" applyFill="1" applyBorder="1" applyAlignment="1">
      <alignment horizontal="center"/>
    </xf>
    <xf numFmtId="10" fontId="0" fillId="0" borderId="0" xfId="0" applyNumberFormat="1"/>
    <xf numFmtId="0" fontId="11" fillId="0" borderId="76" xfId="0" applyFont="1" applyBorder="1"/>
    <xf numFmtId="0" fontId="11" fillId="0" borderId="77" xfId="0" applyFont="1" applyBorder="1"/>
    <xf numFmtId="14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0" fillId="0" borderId="78" xfId="0" applyBorder="1"/>
    <xf numFmtId="0" fontId="26" fillId="15" borderId="20" xfId="0" applyFont="1" applyFill="1" applyBorder="1" applyAlignment="1">
      <alignment horizontal="center" vertical="center" wrapText="1"/>
    </xf>
    <xf numFmtId="0" fontId="26" fillId="15" borderId="3" xfId="0" applyFont="1" applyFill="1" applyBorder="1"/>
    <xf numFmtId="9" fontId="26" fillId="15" borderId="3" xfId="2" applyFont="1" applyFill="1" applyBorder="1"/>
    <xf numFmtId="165" fontId="26" fillId="15" borderId="3" xfId="1" applyNumberFormat="1" applyFont="1" applyFill="1" applyBorder="1"/>
    <xf numFmtId="0" fontId="26" fillId="15" borderId="5" xfId="0" applyFont="1" applyFill="1" applyBorder="1"/>
    <xf numFmtId="0" fontId="26" fillId="15" borderId="61" xfId="0" applyFont="1" applyFill="1" applyBorder="1" applyAlignment="1">
      <alignment horizontal="center" vertical="center" wrapText="1"/>
    </xf>
    <xf numFmtId="0" fontId="26" fillId="15" borderId="40" xfId="0" applyFont="1" applyFill="1" applyBorder="1" applyAlignment="1">
      <alignment horizontal="center" vertical="center" wrapText="1"/>
    </xf>
    <xf numFmtId="0" fontId="0" fillId="0" borderId="4" xfId="2" applyNumberFormat="1" applyFont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26" fillId="15" borderId="47" xfId="0" applyFont="1" applyFill="1" applyBorder="1" applyAlignment="1">
      <alignment horizontal="center" vertical="center" wrapText="1"/>
    </xf>
    <xf numFmtId="0" fontId="26" fillId="15" borderId="41" xfId="0" applyFont="1" applyFill="1" applyBorder="1" applyAlignment="1">
      <alignment horizontal="center" vertical="center" wrapText="1"/>
    </xf>
    <xf numFmtId="0" fontId="0" fillId="0" borderId="22" xfId="2" applyNumberFormat="1" applyFont="1" applyBorder="1" applyAlignment="1">
      <alignment horizontal="center"/>
    </xf>
    <xf numFmtId="0" fontId="15" fillId="8" borderId="2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14" fontId="0" fillId="0" borderId="4" xfId="0" applyNumberFormat="1" applyBorder="1" applyAlignment="1">
      <alignment horizontal="left"/>
    </xf>
    <xf numFmtId="14" fontId="0" fillId="0" borderId="4" xfId="0" applyNumberFormat="1" applyBorder="1"/>
    <xf numFmtId="0" fontId="15" fillId="8" borderId="4" xfId="0" applyFont="1" applyFill="1" applyBorder="1"/>
    <xf numFmtId="0" fontId="0" fillId="0" borderId="6" xfId="2" applyNumberFormat="1" applyFont="1" applyBorder="1" applyAlignment="1">
      <alignment horizontal="center"/>
    </xf>
    <xf numFmtId="0" fontId="26" fillId="15" borderId="55" xfId="0" applyFont="1" applyFill="1" applyBorder="1"/>
    <xf numFmtId="0" fontId="26" fillId="15" borderId="82" xfId="0" applyFont="1" applyFill="1" applyBorder="1"/>
    <xf numFmtId="9" fontId="0" fillId="0" borderId="21" xfId="2" applyFont="1" applyBorder="1" applyAlignment="1"/>
    <xf numFmtId="9" fontId="15" fillId="8" borderId="21" xfId="2" applyFont="1" applyFill="1" applyBorder="1" applyAlignment="1">
      <alignment horizontal="center"/>
    </xf>
    <xf numFmtId="0" fontId="26" fillId="15" borderId="21" xfId="0" applyFont="1" applyFill="1" applyBorder="1"/>
    <xf numFmtId="165" fontId="15" fillId="8" borderId="22" xfId="1" applyNumberFormat="1" applyFont="1" applyFill="1" applyBorder="1" applyAlignment="1">
      <alignment horizontal="center"/>
    </xf>
    <xf numFmtId="9" fontId="15" fillId="9" borderId="21" xfId="2" applyFont="1" applyFill="1" applyBorder="1"/>
    <xf numFmtId="0" fontId="0" fillId="0" borderId="25" xfId="0" applyBorder="1"/>
    <xf numFmtId="165" fontId="26" fillId="15" borderId="20" xfId="1" applyNumberFormat="1" applyFont="1" applyFill="1" applyBorder="1"/>
    <xf numFmtId="165" fontId="26" fillId="15" borderId="18" xfId="1" applyNumberFormat="1" applyFont="1" applyFill="1" applyBorder="1"/>
    <xf numFmtId="0" fontId="26" fillId="15" borderId="41" xfId="0" applyFont="1" applyFill="1" applyBorder="1"/>
    <xf numFmtId="9" fontId="0" fillId="0" borderId="4" xfId="2" applyFont="1" applyBorder="1"/>
    <xf numFmtId="9" fontId="0" fillId="0" borderId="4" xfId="2" applyFont="1" applyBorder="1" applyAlignment="1"/>
    <xf numFmtId="9" fontId="15" fillId="8" borderId="4" xfId="2" applyFont="1" applyFill="1" applyBorder="1" applyAlignment="1">
      <alignment horizontal="center"/>
    </xf>
    <xf numFmtId="165" fontId="26" fillId="15" borderId="41" xfId="1" applyNumberFormat="1" applyFont="1" applyFill="1" applyBorder="1"/>
    <xf numFmtId="165" fontId="0" fillId="0" borderId="21" xfId="1" applyNumberFormat="1" applyFont="1" applyBorder="1"/>
    <xf numFmtId="165" fontId="15" fillId="8" borderId="21" xfId="1" applyNumberFormat="1" applyFont="1" applyFill="1" applyBorder="1" applyAlignment="1">
      <alignment horizontal="center"/>
    </xf>
    <xf numFmtId="165" fontId="0" fillId="0" borderId="25" xfId="1" applyNumberFormat="1" applyFont="1" applyBorder="1"/>
    <xf numFmtId="0" fontId="26" fillId="15" borderId="28" xfId="0" applyFont="1" applyFill="1" applyBorder="1"/>
    <xf numFmtId="9" fontId="0" fillId="0" borderId="40" xfId="2" applyFont="1" applyBorder="1"/>
    <xf numFmtId="9" fontId="26" fillId="15" borderId="28" xfId="2" applyFont="1" applyFill="1" applyBorder="1"/>
    <xf numFmtId="0" fontId="26" fillId="15" borderId="20" xfId="0" applyFont="1" applyFill="1" applyBorder="1" applyAlignment="1">
      <alignment horizontal="center"/>
    </xf>
    <xf numFmtId="0" fontId="26" fillId="15" borderId="40" xfId="0" applyFont="1" applyFill="1" applyBorder="1" applyAlignment="1">
      <alignment horizontal="center"/>
    </xf>
    <xf numFmtId="0" fontId="26" fillId="15" borderId="18" xfId="0" applyFont="1" applyFill="1" applyBorder="1" applyAlignment="1">
      <alignment horizontal="center"/>
    </xf>
    <xf numFmtId="0" fontId="15" fillId="8" borderId="22" xfId="0" applyFont="1" applyFill="1" applyBorder="1" applyAlignment="1">
      <alignment horizontal="centerContinuous"/>
    </xf>
    <xf numFmtId="0" fontId="0" fillId="0" borderId="23" xfId="0" applyBorder="1"/>
    <xf numFmtId="0" fontId="0" fillId="0" borderId="24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9" fontId="0" fillId="0" borderId="7" xfId="2" applyFont="1" applyBorder="1"/>
    <xf numFmtId="0" fontId="28" fillId="0" borderId="3" xfId="0" applyFont="1" applyBorder="1" applyAlignment="1">
      <alignment vertical="center"/>
    </xf>
    <xf numFmtId="0" fontId="8" fillId="0" borderId="0" xfId="0" applyFont="1"/>
    <xf numFmtId="0" fontId="8" fillId="0" borderId="3" xfId="0" applyFont="1" applyBorder="1" applyAlignment="1">
      <alignment vertical="center"/>
    </xf>
    <xf numFmtId="0" fontId="8" fillId="0" borderId="3" xfId="0" applyFont="1" applyBorder="1"/>
    <xf numFmtId="0" fontId="29" fillId="0" borderId="3" xfId="0" applyFont="1" applyBorder="1"/>
    <xf numFmtId="0" fontId="0" fillId="0" borderId="19" xfId="2" applyNumberFormat="1" applyFont="1" applyBorder="1" applyAlignment="1">
      <alignment horizontal="center"/>
    </xf>
    <xf numFmtId="0" fontId="0" fillId="0" borderId="40" xfId="2" applyNumberFormat="1" applyFont="1" applyBorder="1" applyAlignment="1">
      <alignment horizontal="center"/>
    </xf>
    <xf numFmtId="0" fontId="0" fillId="10" borderId="0" xfId="0" applyFill="1"/>
    <xf numFmtId="0" fontId="11" fillId="10" borderId="10" xfId="0" applyFont="1" applyFill="1" applyBorder="1" applyAlignment="1">
      <alignment horizontal="center"/>
    </xf>
    <xf numFmtId="0" fontId="11" fillId="10" borderId="64" xfId="0" applyFont="1" applyFill="1" applyBorder="1" applyAlignment="1">
      <alignment horizontal="center"/>
    </xf>
    <xf numFmtId="0" fontId="31" fillId="15" borderId="12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 wrapText="1"/>
    </xf>
    <xf numFmtId="0" fontId="27" fillId="15" borderId="16" xfId="0" applyFont="1" applyFill="1" applyBorder="1" applyAlignment="1">
      <alignment horizontal="centerContinuous" vertical="center" wrapText="1"/>
    </xf>
    <xf numFmtId="9" fontId="27" fillId="15" borderId="16" xfId="2" applyFont="1" applyFill="1" applyBorder="1" applyAlignment="1">
      <alignment horizontal="centerContinuous" vertical="center" wrapText="1"/>
    </xf>
    <xf numFmtId="165" fontId="27" fillId="15" borderId="16" xfId="1" applyNumberFormat="1" applyFont="1" applyFill="1" applyBorder="1" applyAlignment="1">
      <alignment horizontal="centerContinuous" vertical="center" wrapText="1"/>
    </xf>
    <xf numFmtId="165" fontId="26" fillId="15" borderId="16" xfId="1" applyNumberFormat="1" applyFont="1" applyFill="1" applyBorder="1" applyAlignment="1">
      <alignment horizontal="centerContinuous" vertical="center" wrapText="1"/>
    </xf>
    <xf numFmtId="0" fontId="26" fillId="15" borderId="17" xfId="0" applyFont="1" applyFill="1" applyBorder="1" applyAlignment="1">
      <alignment horizontal="centerContinuous" vertical="center" wrapText="1"/>
    </xf>
    <xf numFmtId="0" fontId="31" fillId="15" borderId="19" xfId="0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9" fontId="0" fillId="15" borderId="0" xfId="2" applyFont="1" applyFill="1" applyAlignment="1">
      <alignment horizontal="center"/>
    </xf>
    <xf numFmtId="9" fontId="0" fillId="15" borderId="0" xfId="2" applyFont="1" applyFill="1"/>
    <xf numFmtId="165" fontId="0" fillId="15" borderId="0" xfId="1" applyNumberFormat="1" applyFont="1" applyFill="1"/>
    <xf numFmtId="0" fontId="9" fillId="0" borderId="48" xfId="0" applyFont="1" applyBorder="1"/>
    <xf numFmtId="0" fontId="11" fillId="0" borderId="56" xfId="0" applyFont="1" applyBorder="1"/>
    <xf numFmtId="0" fontId="11" fillId="0" borderId="46" xfId="0" applyFont="1" applyBorder="1"/>
    <xf numFmtId="0" fontId="11" fillId="19" borderId="83" xfId="0" applyFont="1" applyFill="1" applyBorder="1"/>
    <xf numFmtId="165" fontId="0" fillId="0" borderId="0" xfId="2" applyNumberFormat="1" applyFont="1"/>
    <xf numFmtId="0" fontId="8" fillId="15" borderId="0" xfId="0" applyFont="1" applyFill="1"/>
    <xf numFmtId="0" fontId="8" fillId="15" borderId="0" xfId="0" applyFont="1" applyFill="1" applyAlignment="1">
      <alignment horizontal="center"/>
    </xf>
    <xf numFmtId="9" fontId="8" fillId="15" borderId="0" xfId="2" applyFont="1" applyFill="1" applyAlignment="1">
      <alignment horizontal="center"/>
    </xf>
    <xf numFmtId="9" fontId="8" fillId="15" borderId="0" xfId="2" applyFont="1" applyFill="1"/>
    <xf numFmtId="165" fontId="8" fillId="15" borderId="0" xfId="1" applyNumberFormat="1" applyFont="1" applyFill="1"/>
    <xf numFmtId="0" fontId="8" fillId="0" borderId="0" xfId="0" applyFont="1" applyAlignment="1">
      <alignment horizontal="center"/>
    </xf>
    <xf numFmtId="9" fontId="8" fillId="0" borderId="0" xfId="2" applyFont="1" applyFill="1" applyAlignment="1">
      <alignment horizontal="center"/>
    </xf>
    <xf numFmtId="9" fontId="8" fillId="0" borderId="0" xfId="2" applyFont="1" applyFill="1"/>
    <xf numFmtId="165" fontId="8" fillId="0" borderId="0" xfId="1" applyNumberFormat="1" applyFont="1" applyFill="1"/>
    <xf numFmtId="9" fontId="8" fillId="0" borderId="0" xfId="2" applyFont="1" applyAlignment="1">
      <alignment horizontal="center"/>
    </xf>
    <xf numFmtId="9" fontId="8" fillId="0" borderId="0" xfId="2" applyFont="1"/>
    <xf numFmtId="165" fontId="8" fillId="0" borderId="0" xfId="1" applyNumberFormat="1" applyFont="1"/>
    <xf numFmtId="0" fontId="8" fillId="0" borderId="0" xfId="0" applyFont="1" applyAlignment="1">
      <alignment vertical="center" wrapText="1"/>
    </xf>
    <xf numFmtId="0" fontId="8" fillId="0" borderId="22" xfId="0" applyFont="1" applyBorder="1"/>
    <xf numFmtId="14" fontId="8" fillId="0" borderId="4" xfId="0" applyNumberFormat="1" applyFont="1" applyBorder="1"/>
    <xf numFmtId="0" fontId="8" fillId="0" borderId="2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8" fillId="0" borderId="21" xfId="2" applyFont="1" applyBorder="1" applyAlignment="1"/>
    <xf numFmtId="0" fontId="8" fillId="0" borderId="19" xfId="2" applyNumberFormat="1" applyFont="1" applyBorder="1" applyAlignment="1">
      <alignment horizontal="center"/>
    </xf>
    <xf numFmtId="0" fontId="8" fillId="0" borderId="40" xfId="2" applyNumberFormat="1" applyFont="1" applyBorder="1" applyAlignment="1">
      <alignment horizontal="center"/>
    </xf>
    <xf numFmtId="0" fontId="8" fillId="0" borderId="22" xfId="2" applyNumberFormat="1" applyFont="1" applyBorder="1" applyAlignment="1">
      <alignment horizontal="center"/>
    </xf>
    <xf numFmtId="0" fontId="8" fillId="0" borderId="3" xfId="2" applyNumberFormat="1" applyFont="1" applyBorder="1" applyAlignment="1">
      <alignment horizontal="center"/>
    </xf>
    <xf numFmtId="9" fontId="8" fillId="0" borderId="3" xfId="2" applyFont="1" applyBorder="1" applyAlignment="1">
      <alignment horizontal="center"/>
    </xf>
    <xf numFmtId="0" fontId="8" fillId="0" borderId="19" xfId="0" applyFont="1" applyBorder="1"/>
    <xf numFmtId="9" fontId="8" fillId="0" borderId="21" xfId="2" applyFont="1" applyBorder="1" applyAlignment="1">
      <alignment horizontal="center"/>
    </xf>
    <xf numFmtId="0" fontId="8" fillId="0" borderId="20" xfId="0" applyFont="1" applyBorder="1"/>
    <xf numFmtId="9" fontId="8" fillId="0" borderId="40" xfId="2" applyFont="1" applyBorder="1"/>
    <xf numFmtId="165" fontId="8" fillId="0" borderId="22" xfId="1" applyNumberFormat="1" applyFont="1" applyBorder="1"/>
    <xf numFmtId="165" fontId="8" fillId="0" borderId="3" xfId="1" applyNumberFormat="1" applyFont="1" applyBorder="1"/>
    <xf numFmtId="165" fontId="8" fillId="0" borderId="21" xfId="1" applyNumberFormat="1" applyFont="1" applyBorder="1"/>
    <xf numFmtId="9" fontId="8" fillId="0" borderId="21" xfId="2" applyFont="1" applyBorder="1"/>
    <xf numFmtId="0" fontId="8" fillId="0" borderId="6" xfId="2" applyNumberFormat="1" applyFont="1" applyBorder="1" applyAlignment="1">
      <alignment horizontal="center"/>
    </xf>
    <xf numFmtId="0" fontId="8" fillId="0" borderId="4" xfId="2" applyNumberFormat="1" applyFont="1" applyBorder="1" applyAlignment="1">
      <alignment horizontal="center"/>
    </xf>
    <xf numFmtId="0" fontId="8" fillId="0" borderId="6" xfId="0" applyFont="1" applyBorder="1"/>
    <xf numFmtId="9" fontId="8" fillId="0" borderId="4" xfId="2" applyFont="1" applyBorder="1"/>
    <xf numFmtId="9" fontId="8" fillId="0" borderId="4" xfId="2" applyFont="1" applyBorder="1" applyAlignment="1"/>
    <xf numFmtId="0" fontId="36" fillId="8" borderId="22" xfId="0" applyFont="1" applyFill="1" applyBorder="1" applyAlignment="1">
      <alignment horizontal="centerContinuous"/>
    </xf>
    <xf numFmtId="0" fontId="36" fillId="8" borderId="3" xfId="0" applyFont="1" applyFill="1" applyBorder="1" applyAlignment="1">
      <alignment horizontal="centerContinuous"/>
    </xf>
    <xf numFmtId="0" fontId="36" fillId="8" borderId="4" xfId="0" applyFont="1" applyFill="1" applyBorder="1"/>
    <xf numFmtId="0" fontId="36" fillId="8" borderId="22" xfId="0" applyFont="1" applyFill="1" applyBorder="1" applyAlignment="1">
      <alignment horizontal="center"/>
    </xf>
    <xf numFmtId="0" fontId="36" fillId="8" borderId="3" xfId="0" applyFont="1" applyFill="1" applyBorder="1" applyAlignment="1">
      <alignment horizontal="center"/>
    </xf>
    <xf numFmtId="9" fontId="36" fillId="8" borderId="21" xfId="2" applyFont="1" applyFill="1" applyBorder="1" applyAlignment="1">
      <alignment horizontal="center"/>
    </xf>
    <xf numFmtId="0" fontId="36" fillId="8" borderId="6" xfId="0" applyFont="1" applyFill="1" applyBorder="1" applyAlignment="1">
      <alignment horizontal="center"/>
    </xf>
    <xf numFmtId="0" fontId="36" fillId="8" borderId="4" xfId="0" applyFont="1" applyFill="1" applyBorder="1" applyAlignment="1">
      <alignment horizontal="center"/>
    </xf>
    <xf numFmtId="9" fontId="36" fillId="8" borderId="4" xfId="2" applyFont="1" applyFill="1" applyBorder="1" applyAlignment="1">
      <alignment horizontal="center"/>
    </xf>
    <xf numFmtId="9" fontId="36" fillId="9" borderId="21" xfId="2" applyFont="1" applyFill="1" applyBorder="1"/>
    <xf numFmtId="0" fontId="8" fillId="0" borderId="23" xfId="0" applyFont="1" applyBorder="1"/>
    <xf numFmtId="0" fontId="8" fillId="0" borderId="24" xfId="0" applyFont="1" applyBorder="1"/>
    <xf numFmtId="0" fontId="8" fillId="0" borderId="7" xfId="0" applyFont="1" applyBorder="1"/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9" fontId="8" fillId="0" borderId="25" xfId="2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9" xfId="0" applyFont="1" applyBorder="1"/>
    <xf numFmtId="9" fontId="8" fillId="0" borderId="7" xfId="2" applyFont="1" applyBorder="1"/>
    <xf numFmtId="165" fontId="8" fillId="0" borderId="23" xfId="1" applyNumberFormat="1" applyFont="1" applyBorder="1"/>
    <xf numFmtId="165" fontId="8" fillId="0" borderId="24" xfId="1" applyNumberFormat="1" applyFont="1" applyBorder="1"/>
    <xf numFmtId="165" fontId="8" fillId="0" borderId="25" xfId="1" applyNumberFormat="1" applyFont="1" applyBorder="1"/>
    <xf numFmtId="0" fontId="8" fillId="0" borderId="25" xfId="0" applyFont="1" applyBorder="1"/>
    <xf numFmtId="0" fontId="9" fillId="0" borderId="22" xfId="0" applyFont="1" applyBorder="1"/>
    <xf numFmtId="165" fontId="8" fillId="0" borderId="3" xfId="1" applyNumberFormat="1" applyFont="1" applyBorder="1" applyAlignment="1">
      <alignment horizontal="center"/>
    </xf>
    <xf numFmtId="0" fontId="9" fillId="0" borderId="42" xfId="0" applyFont="1" applyBorder="1"/>
    <xf numFmtId="0" fontId="8" fillId="0" borderId="10" xfId="0" applyFont="1" applyBorder="1" applyAlignment="1">
      <alignment horizontal="center"/>
    </xf>
    <xf numFmtId="9" fontId="8" fillId="0" borderId="10" xfId="2" applyFont="1" applyBorder="1" applyAlignment="1">
      <alignment horizontal="center"/>
    </xf>
    <xf numFmtId="165" fontId="8" fillId="0" borderId="10" xfId="1" applyNumberFormat="1" applyFont="1" applyBorder="1" applyAlignment="1">
      <alignment horizontal="center"/>
    </xf>
    <xf numFmtId="9" fontId="8" fillId="0" borderId="44" xfId="2" applyFont="1" applyBorder="1" applyAlignment="1">
      <alignment horizontal="center"/>
    </xf>
    <xf numFmtId="0" fontId="9" fillId="0" borderId="37" xfId="0" applyFont="1" applyBorder="1"/>
    <xf numFmtId="0" fontId="9" fillId="0" borderId="3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9" fontId="9" fillId="0" borderId="35" xfId="2" applyFont="1" applyFill="1" applyBorder="1" applyAlignment="1">
      <alignment horizontal="center"/>
    </xf>
    <xf numFmtId="9" fontId="9" fillId="0" borderId="39" xfId="2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4" fontId="7" fillId="0" borderId="4" xfId="0" applyNumberFormat="1" applyFont="1" applyBorder="1"/>
    <xf numFmtId="0" fontId="7" fillId="0" borderId="3" xfId="0" applyFont="1" applyBorder="1"/>
    <xf numFmtId="169" fontId="36" fillId="8" borderId="22" xfId="1" applyNumberFormat="1" applyFont="1" applyFill="1" applyBorder="1" applyAlignment="1">
      <alignment horizontal="center"/>
    </xf>
    <xf numFmtId="169" fontId="9" fillId="0" borderId="35" xfId="1" applyNumberFormat="1" applyFont="1" applyFill="1" applyBorder="1" applyAlignment="1">
      <alignment horizontal="center"/>
    </xf>
    <xf numFmtId="165" fontId="36" fillId="8" borderId="4" xfId="1" applyNumberFormat="1" applyFont="1" applyFill="1" applyBorder="1" applyAlignment="1">
      <alignment horizontal="center"/>
    </xf>
    <xf numFmtId="0" fontId="6" fillId="0" borderId="0" xfId="0" applyFont="1"/>
    <xf numFmtId="0" fontId="6" fillId="0" borderId="46" xfId="0" applyFont="1" applyBorder="1"/>
    <xf numFmtId="0" fontId="6" fillId="0" borderId="78" xfId="0" applyFont="1" applyBorder="1"/>
    <xf numFmtId="0" fontId="6" fillId="0" borderId="48" xfId="0" applyFont="1" applyBorder="1"/>
    <xf numFmtId="0" fontId="6" fillId="0" borderId="56" xfId="0" applyFont="1" applyBorder="1"/>
    <xf numFmtId="0" fontId="9" fillId="10" borderId="32" xfId="0" applyFont="1" applyFill="1" applyBorder="1"/>
    <xf numFmtId="0" fontId="9" fillId="10" borderId="33" xfId="0" applyFont="1" applyFill="1" applyBorder="1"/>
    <xf numFmtId="0" fontId="5" fillId="0" borderId="3" xfId="0" applyFont="1" applyBorder="1"/>
    <xf numFmtId="0" fontId="5" fillId="0" borderId="0" xfId="0" applyFont="1"/>
    <xf numFmtId="0" fontId="4" fillId="0" borderId="0" xfId="0" applyFont="1"/>
    <xf numFmtId="0" fontId="8" fillId="0" borderId="18" xfId="2" applyNumberFormat="1" applyFont="1" applyBorder="1" applyAlignment="1">
      <alignment horizontal="center"/>
    </xf>
    <xf numFmtId="0" fontId="8" fillId="0" borderId="20" xfId="2" applyNumberFormat="1" applyFont="1" applyBorder="1" applyAlignment="1">
      <alignment horizontal="center"/>
    </xf>
    <xf numFmtId="0" fontId="26" fillId="15" borderId="54" xfId="0" applyFont="1" applyFill="1" applyBorder="1" applyAlignment="1">
      <alignment horizontal="center"/>
    </xf>
    <xf numFmtId="0" fontId="8" fillId="0" borderId="18" xfId="0" applyFont="1" applyBorder="1"/>
    <xf numFmtId="0" fontId="26" fillId="15" borderId="46" xfId="0" applyFont="1" applyFill="1" applyBorder="1" applyAlignment="1">
      <alignment horizontal="center"/>
    </xf>
    <xf numFmtId="0" fontId="28" fillId="0" borderId="20" xfId="0" applyFont="1" applyBorder="1" applyAlignment="1">
      <alignment vertical="center"/>
    </xf>
    <xf numFmtId="0" fontId="26" fillId="15" borderId="61" xfId="0" applyFont="1" applyFill="1" applyBorder="1" applyAlignment="1">
      <alignment horizontal="center"/>
    </xf>
    <xf numFmtId="14" fontId="8" fillId="0" borderId="40" xfId="0" applyNumberFormat="1" applyFont="1" applyBorder="1"/>
    <xf numFmtId="0" fontId="26" fillId="15" borderId="62" xfId="0" applyFont="1" applyFill="1" applyBorder="1"/>
    <xf numFmtId="0" fontId="8" fillId="0" borderId="18" xfId="0" applyFont="1" applyBorder="1" applyAlignment="1">
      <alignment horizontal="center"/>
    </xf>
    <xf numFmtId="0" fontId="26" fillId="15" borderId="0" xfId="0" applyFont="1" applyFill="1"/>
    <xf numFmtId="0" fontId="8" fillId="0" borderId="20" xfId="0" applyFont="1" applyBorder="1" applyAlignment="1">
      <alignment horizontal="center"/>
    </xf>
    <xf numFmtId="0" fontId="26" fillId="15" borderId="60" xfId="0" applyFont="1" applyFill="1" applyBorder="1"/>
    <xf numFmtId="9" fontId="8" fillId="0" borderId="41" xfId="2" applyFont="1" applyBorder="1" applyAlignment="1"/>
    <xf numFmtId="9" fontId="8" fillId="0" borderId="20" xfId="2" applyFont="1" applyBorder="1" applyAlignment="1">
      <alignment horizontal="center"/>
    </xf>
    <xf numFmtId="9" fontId="8" fillId="0" borderId="41" xfId="2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34" fillId="21" borderId="1" xfId="0" applyFont="1" applyFill="1" applyBorder="1" applyAlignment="1">
      <alignment horizontal="center" vertical="center"/>
    </xf>
    <xf numFmtId="0" fontId="34" fillId="21" borderId="2" xfId="0" applyFont="1" applyFill="1" applyBorder="1" applyAlignment="1">
      <alignment horizontal="center" vertical="center"/>
    </xf>
    <xf numFmtId="0" fontId="34" fillId="21" borderId="31" xfId="0" applyFont="1" applyFill="1" applyBorder="1" applyAlignment="1">
      <alignment horizontal="center" vertical="center"/>
    </xf>
    <xf numFmtId="0" fontId="34" fillId="21" borderId="51" xfId="0" applyFont="1" applyFill="1" applyBorder="1" applyAlignment="1">
      <alignment horizontal="center" vertical="center"/>
    </xf>
    <xf numFmtId="0" fontId="34" fillId="21" borderId="0" xfId="0" applyFont="1" applyFill="1" applyAlignment="1">
      <alignment horizontal="center" vertical="center"/>
    </xf>
    <xf numFmtId="0" fontId="34" fillId="21" borderId="60" xfId="0" applyFont="1" applyFill="1" applyBorder="1" applyAlignment="1">
      <alignment horizontal="center" vertical="center"/>
    </xf>
    <xf numFmtId="0" fontId="34" fillId="21" borderId="49" xfId="0" applyFont="1" applyFill="1" applyBorder="1" applyAlignment="1">
      <alignment horizontal="center" vertical="center"/>
    </xf>
    <xf numFmtId="0" fontId="34" fillId="21" borderId="27" xfId="0" applyFont="1" applyFill="1" applyBorder="1" applyAlignment="1">
      <alignment horizontal="center" vertical="center"/>
    </xf>
    <xf numFmtId="0" fontId="34" fillId="21" borderId="30" xfId="0" applyFont="1" applyFill="1" applyBorder="1" applyAlignment="1">
      <alignment horizontal="center" vertical="center"/>
    </xf>
    <xf numFmtId="169" fontId="33" fillId="0" borderId="1" xfId="0" applyNumberFormat="1" applyFont="1" applyBorder="1" applyAlignment="1">
      <alignment horizontal="center" vertical="center"/>
    </xf>
    <xf numFmtId="169" fontId="33" fillId="0" borderId="2" xfId="0" applyNumberFormat="1" applyFont="1" applyBorder="1" applyAlignment="1">
      <alignment horizontal="center" vertical="center"/>
    </xf>
    <xf numFmtId="169" fontId="33" fillId="0" borderId="31" xfId="0" applyNumberFormat="1" applyFont="1" applyBorder="1" applyAlignment="1">
      <alignment horizontal="center" vertical="center"/>
    </xf>
    <xf numFmtId="169" fontId="33" fillId="0" borderId="51" xfId="0" applyNumberFormat="1" applyFont="1" applyBorder="1" applyAlignment="1">
      <alignment horizontal="center" vertical="center"/>
    </xf>
    <xf numFmtId="169" fontId="33" fillId="0" borderId="0" xfId="0" applyNumberFormat="1" applyFont="1" applyAlignment="1">
      <alignment horizontal="center" vertical="center"/>
    </xf>
    <xf numFmtId="169" fontId="33" fillId="0" borderId="60" xfId="0" applyNumberFormat="1" applyFont="1" applyBorder="1" applyAlignment="1">
      <alignment horizontal="center" vertical="center"/>
    </xf>
    <xf numFmtId="169" fontId="33" fillId="0" borderId="49" xfId="0" applyNumberFormat="1" applyFont="1" applyBorder="1" applyAlignment="1">
      <alignment horizontal="center" vertical="center"/>
    </xf>
    <xf numFmtId="169" fontId="33" fillId="0" borderId="27" xfId="0" applyNumberFormat="1" applyFont="1" applyBorder="1" applyAlignment="1">
      <alignment horizontal="center" vertical="center"/>
    </xf>
    <xf numFmtId="169" fontId="33" fillId="0" borderId="30" xfId="0" applyNumberFormat="1" applyFont="1" applyBorder="1" applyAlignment="1">
      <alignment horizontal="center" vertical="center"/>
    </xf>
    <xf numFmtId="9" fontId="33" fillId="0" borderId="1" xfId="2" applyFont="1" applyFill="1" applyBorder="1" applyAlignment="1">
      <alignment horizontal="center" vertical="center" wrapText="1"/>
    </xf>
    <xf numFmtId="9" fontId="33" fillId="0" borderId="2" xfId="2" applyFont="1" applyFill="1" applyBorder="1" applyAlignment="1">
      <alignment horizontal="center" vertical="center" wrapText="1"/>
    </xf>
    <xf numFmtId="9" fontId="33" fillId="0" borderId="31" xfId="2" applyFont="1" applyFill="1" applyBorder="1" applyAlignment="1">
      <alignment horizontal="center" vertical="center" wrapText="1"/>
    </xf>
    <xf numFmtId="9" fontId="33" fillId="0" borderId="51" xfId="2" applyFont="1" applyFill="1" applyBorder="1" applyAlignment="1">
      <alignment horizontal="center" vertical="center" wrapText="1"/>
    </xf>
    <xf numFmtId="9" fontId="33" fillId="0" borderId="0" xfId="2" applyFont="1" applyFill="1" applyBorder="1" applyAlignment="1">
      <alignment horizontal="center" vertical="center" wrapText="1"/>
    </xf>
    <xf numFmtId="9" fontId="33" fillId="0" borderId="60" xfId="2" applyFont="1" applyFill="1" applyBorder="1" applyAlignment="1">
      <alignment horizontal="center" vertical="center" wrapText="1"/>
    </xf>
    <xf numFmtId="9" fontId="33" fillId="0" borderId="49" xfId="2" applyFont="1" applyFill="1" applyBorder="1" applyAlignment="1">
      <alignment horizontal="center" vertical="center" wrapText="1"/>
    </xf>
    <xf numFmtId="9" fontId="33" fillId="0" borderId="27" xfId="2" applyFont="1" applyFill="1" applyBorder="1" applyAlignment="1">
      <alignment horizontal="center" vertical="center" wrapText="1"/>
    </xf>
    <xf numFmtId="9" fontId="33" fillId="0" borderId="30" xfId="2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34" fillId="20" borderId="31" xfId="0" applyFont="1" applyFill="1" applyBorder="1" applyAlignment="1">
      <alignment horizontal="center" vertical="center"/>
    </xf>
    <xf numFmtId="0" fontId="34" fillId="20" borderId="51" xfId="0" applyFont="1" applyFill="1" applyBorder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34" fillId="20" borderId="60" xfId="0" applyFont="1" applyFill="1" applyBorder="1" applyAlignment="1">
      <alignment horizontal="center" vertical="center"/>
    </xf>
    <xf numFmtId="0" fontId="34" fillId="20" borderId="49" xfId="0" applyFont="1" applyFill="1" applyBorder="1" applyAlignment="1">
      <alignment horizontal="center" vertical="center"/>
    </xf>
    <xf numFmtId="0" fontId="34" fillId="20" borderId="27" xfId="0" applyFont="1" applyFill="1" applyBorder="1" applyAlignment="1">
      <alignment horizontal="center" vertical="center"/>
    </xf>
    <xf numFmtId="0" fontId="34" fillId="20" borderId="30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60" xfId="0" applyFont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60" xfId="0" applyFont="1" applyBorder="1" applyAlignment="1">
      <alignment horizontal="center" vertical="center"/>
    </xf>
    <xf numFmtId="0" fontId="33" fillId="0" borderId="49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0" fontId="26" fillId="15" borderId="48" xfId="0" applyFont="1" applyFill="1" applyBorder="1" applyAlignment="1">
      <alignment horizontal="center" vertical="center" wrapText="1"/>
    </xf>
    <xf numFmtId="0" fontId="26" fillId="15" borderId="5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9" fontId="33" fillId="0" borderId="1" xfId="0" applyNumberFormat="1" applyFont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0" fontId="35" fillId="15" borderId="31" xfId="0" applyFont="1" applyFill="1" applyBorder="1" applyAlignment="1">
      <alignment horizontal="center" vertical="center"/>
    </xf>
    <xf numFmtId="0" fontId="35" fillId="15" borderId="51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0" fontId="35" fillId="15" borderId="60" xfId="0" applyFont="1" applyFill="1" applyBorder="1" applyAlignment="1">
      <alignment horizontal="center" vertical="center"/>
    </xf>
    <xf numFmtId="0" fontId="35" fillId="15" borderId="49" xfId="0" applyFont="1" applyFill="1" applyBorder="1" applyAlignment="1">
      <alignment horizontal="center" vertical="center"/>
    </xf>
    <xf numFmtId="0" fontId="35" fillId="15" borderId="27" xfId="0" applyFont="1" applyFill="1" applyBorder="1" applyAlignment="1">
      <alignment horizontal="center" vertical="center"/>
    </xf>
    <xf numFmtId="0" fontId="35" fillId="15" borderId="30" xfId="0" applyFont="1" applyFill="1" applyBorder="1" applyAlignment="1">
      <alignment horizontal="center" vertical="center"/>
    </xf>
    <xf numFmtId="165" fontId="33" fillId="0" borderId="1" xfId="1" applyNumberFormat="1" applyFont="1" applyFill="1" applyBorder="1" applyAlignment="1">
      <alignment horizontal="center" vertical="center" wrapText="1"/>
    </xf>
    <xf numFmtId="165" fontId="33" fillId="0" borderId="2" xfId="1" applyNumberFormat="1" applyFont="1" applyFill="1" applyBorder="1" applyAlignment="1">
      <alignment horizontal="center" vertical="center" wrapText="1"/>
    </xf>
    <xf numFmtId="165" fontId="33" fillId="0" borderId="31" xfId="1" applyNumberFormat="1" applyFont="1" applyFill="1" applyBorder="1" applyAlignment="1">
      <alignment horizontal="center" vertical="center" wrapText="1"/>
    </xf>
    <xf numFmtId="165" fontId="33" fillId="0" borderId="51" xfId="1" applyNumberFormat="1" applyFont="1" applyFill="1" applyBorder="1" applyAlignment="1">
      <alignment horizontal="center" vertical="center" wrapText="1"/>
    </xf>
    <xf numFmtId="165" fontId="33" fillId="0" borderId="0" xfId="1" applyNumberFormat="1" applyFont="1" applyFill="1" applyBorder="1" applyAlignment="1">
      <alignment horizontal="center" vertical="center" wrapText="1"/>
    </xf>
    <xf numFmtId="165" fontId="33" fillId="0" borderId="60" xfId="1" applyNumberFormat="1" applyFont="1" applyFill="1" applyBorder="1" applyAlignment="1">
      <alignment horizontal="center" vertical="center" wrapText="1"/>
    </xf>
    <xf numFmtId="165" fontId="33" fillId="0" borderId="49" xfId="1" applyNumberFormat="1" applyFont="1" applyFill="1" applyBorder="1" applyAlignment="1">
      <alignment horizontal="center" vertical="center" wrapText="1"/>
    </xf>
    <xf numFmtId="165" fontId="33" fillId="0" borderId="27" xfId="1" applyNumberFormat="1" applyFont="1" applyFill="1" applyBorder="1" applyAlignment="1">
      <alignment horizontal="center" vertical="center" wrapText="1"/>
    </xf>
    <xf numFmtId="165" fontId="33" fillId="0" borderId="30" xfId="1" applyNumberFormat="1" applyFont="1" applyFill="1" applyBorder="1" applyAlignment="1">
      <alignment horizontal="center" vertical="center" wrapText="1"/>
    </xf>
    <xf numFmtId="0" fontId="30" fillId="15" borderId="11" xfId="0" applyFont="1" applyFill="1" applyBorder="1" applyAlignment="1">
      <alignment horizontal="center" vertical="center"/>
    </xf>
    <xf numFmtId="0" fontId="30" fillId="15" borderId="18" xfId="0" applyFont="1" applyFill="1" applyBorder="1" applyAlignment="1">
      <alignment horizontal="center" vertical="center"/>
    </xf>
    <xf numFmtId="0" fontId="27" fillId="15" borderId="14" xfId="0" applyFont="1" applyFill="1" applyBorder="1" applyAlignment="1">
      <alignment horizontal="center" vertical="center" wrapText="1"/>
    </xf>
    <xf numFmtId="0" fontId="27" fillId="15" borderId="79" xfId="0" applyFont="1" applyFill="1" applyBorder="1" applyAlignment="1">
      <alignment horizontal="center" vertical="center" wrapText="1"/>
    </xf>
    <xf numFmtId="0" fontId="27" fillId="15" borderId="15" xfId="0" applyFont="1" applyFill="1" applyBorder="1" applyAlignment="1">
      <alignment horizontal="center" vertical="center" wrapText="1"/>
    </xf>
    <xf numFmtId="165" fontId="27" fillId="15" borderId="14" xfId="1" applyNumberFormat="1" applyFont="1" applyFill="1" applyBorder="1" applyAlignment="1">
      <alignment horizontal="center" vertical="center" wrapText="1"/>
    </xf>
    <xf numFmtId="165" fontId="27" fillId="15" borderId="79" xfId="1" applyNumberFormat="1" applyFont="1" applyFill="1" applyBorder="1" applyAlignment="1">
      <alignment horizontal="center" vertical="center" wrapText="1"/>
    </xf>
    <xf numFmtId="165" fontId="27" fillId="15" borderId="15" xfId="1" applyNumberFormat="1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9" fontId="26" fillId="15" borderId="13" xfId="2" applyFont="1" applyFill="1" applyBorder="1" applyAlignment="1">
      <alignment horizontal="center" vertical="center" wrapText="1"/>
    </xf>
    <xf numFmtId="9" fontId="26" fillId="15" borderId="20" xfId="2" applyFont="1" applyFill="1" applyBorder="1" applyAlignment="1">
      <alignment horizontal="center" vertical="center" wrapText="1"/>
    </xf>
    <xf numFmtId="9" fontId="26" fillId="15" borderId="48" xfId="2" applyFont="1" applyFill="1" applyBorder="1" applyAlignment="1">
      <alignment horizontal="center" vertical="center" wrapText="1"/>
    </xf>
    <xf numFmtId="9" fontId="26" fillId="15" borderId="50" xfId="2" applyFont="1" applyFill="1" applyBorder="1" applyAlignment="1">
      <alignment horizontal="center" vertical="center" wrapText="1"/>
    </xf>
    <xf numFmtId="165" fontId="27" fillId="15" borderId="1" xfId="1" applyNumberFormat="1" applyFont="1" applyFill="1" applyBorder="1" applyAlignment="1">
      <alignment horizontal="left" vertical="center"/>
    </xf>
    <xf numFmtId="165" fontId="27" fillId="15" borderId="2" xfId="1" applyNumberFormat="1" applyFont="1" applyFill="1" applyBorder="1" applyAlignment="1">
      <alignment horizontal="left" vertical="center"/>
    </xf>
    <xf numFmtId="165" fontId="27" fillId="15" borderId="31" xfId="1" applyNumberFormat="1" applyFont="1" applyFill="1" applyBorder="1" applyAlignment="1">
      <alignment horizontal="left" vertical="center"/>
    </xf>
    <xf numFmtId="165" fontId="27" fillId="15" borderId="49" xfId="1" applyNumberFormat="1" applyFont="1" applyFill="1" applyBorder="1" applyAlignment="1">
      <alignment horizontal="left" vertical="center"/>
    </xf>
    <xf numFmtId="165" fontId="27" fillId="15" borderId="27" xfId="1" applyNumberFormat="1" applyFont="1" applyFill="1" applyBorder="1" applyAlignment="1">
      <alignment horizontal="left" vertical="center"/>
    </xf>
    <xf numFmtId="165" fontId="27" fillId="15" borderId="30" xfId="1" applyNumberFormat="1" applyFont="1" applyFill="1" applyBorder="1" applyAlignment="1">
      <alignment horizontal="left" vertical="center"/>
    </xf>
    <xf numFmtId="0" fontId="26" fillId="15" borderId="56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49" xfId="0" applyFont="1" applyFill="1" applyBorder="1" applyAlignment="1">
      <alignment horizontal="center" vertical="center" wrapText="1"/>
    </xf>
    <xf numFmtId="0" fontId="27" fillId="15" borderId="27" xfId="0" applyFont="1" applyFill="1" applyBorder="1" applyAlignment="1">
      <alignment horizontal="center" vertical="center" wrapText="1"/>
    </xf>
    <xf numFmtId="165" fontId="27" fillId="15" borderId="1" xfId="1" applyNumberFormat="1" applyFont="1" applyFill="1" applyBorder="1" applyAlignment="1">
      <alignment horizontal="center" vertical="center" wrapText="1"/>
    </xf>
    <xf numFmtId="165" fontId="27" fillId="15" borderId="2" xfId="1" applyNumberFormat="1" applyFont="1" applyFill="1" applyBorder="1" applyAlignment="1">
      <alignment horizontal="center" vertical="center" wrapText="1"/>
    </xf>
    <xf numFmtId="165" fontId="27" fillId="15" borderId="31" xfId="1" applyNumberFormat="1" applyFont="1" applyFill="1" applyBorder="1" applyAlignment="1">
      <alignment horizontal="center" vertical="center" wrapText="1"/>
    </xf>
    <xf numFmtId="165" fontId="27" fillId="15" borderId="49" xfId="1" applyNumberFormat="1" applyFont="1" applyFill="1" applyBorder="1" applyAlignment="1">
      <alignment horizontal="center" vertical="center" wrapText="1"/>
    </xf>
    <xf numFmtId="165" fontId="27" fillId="15" borderId="27" xfId="1" applyNumberFormat="1" applyFont="1" applyFill="1" applyBorder="1" applyAlignment="1">
      <alignment horizontal="center" vertical="center" wrapText="1"/>
    </xf>
    <xf numFmtId="165" fontId="27" fillId="15" borderId="30" xfId="1" applyNumberFormat="1" applyFont="1" applyFill="1" applyBorder="1" applyAlignment="1">
      <alignment horizontal="center" vertical="center" wrapText="1"/>
    </xf>
    <xf numFmtId="165" fontId="9" fillId="10" borderId="32" xfId="1" applyNumberFormat="1" applyFont="1" applyFill="1" applyBorder="1" applyAlignment="1">
      <alignment horizontal="center" vertical="center"/>
    </xf>
    <xf numFmtId="165" fontId="9" fillId="10" borderId="33" xfId="1" applyNumberFormat="1" applyFont="1" applyFill="1" applyBorder="1" applyAlignment="1">
      <alignment horizontal="center" vertical="center"/>
    </xf>
    <xf numFmtId="165" fontId="9" fillId="10" borderId="39" xfId="1" applyNumberFormat="1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/>
    </xf>
    <xf numFmtId="0" fontId="9" fillId="10" borderId="33" xfId="0" applyFont="1" applyFill="1" applyBorder="1" applyAlignment="1">
      <alignment horizontal="center"/>
    </xf>
    <xf numFmtId="0" fontId="9" fillId="10" borderId="39" xfId="0" applyFont="1" applyFill="1" applyBorder="1" applyAlignment="1">
      <alignment horizontal="center"/>
    </xf>
    <xf numFmtId="0" fontId="24" fillId="18" borderId="32" xfId="3" applyFont="1" applyFill="1" applyBorder="1" applyAlignment="1">
      <alignment horizontal="center"/>
    </xf>
    <xf numFmtId="0" fontId="24" fillId="18" borderId="34" xfId="3" applyFont="1" applyFill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13" fillId="16" borderId="32" xfId="3" applyFont="1" applyFill="1" applyBorder="1" applyAlignment="1">
      <alignment horizontal="center" vertical="center"/>
    </xf>
    <xf numFmtId="0" fontId="13" fillId="16" borderId="39" xfId="3" applyFont="1" applyFill="1" applyBorder="1" applyAlignment="1">
      <alignment horizontal="center" vertical="center"/>
    </xf>
    <xf numFmtId="0" fontId="13" fillId="17" borderId="33" xfId="3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9" fontId="11" fillId="0" borderId="10" xfId="2" applyFont="1" applyBorder="1" applyAlignment="1">
      <alignment horizontal="center" vertical="center" wrapText="1"/>
    </xf>
    <xf numFmtId="9" fontId="11" fillId="0" borderId="20" xfId="2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9" fontId="11" fillId="0" borderId="13" xfId="2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165" fontId="11" fillId="5" borderId="7" xfId="1" applyNumberFormat="1" applyFont="1" applyFill="1" applyBorder="1" applyAlignment="1">
      <alignment horizontal="center"/>
    </xf>
    <xf numFmtId="165" fontId="11" fillId="5" borderId="8" xfId="1" applyNumberFormat="1" applyFont="1" applyFill="1" applyBorder="1" applyAlignment="1">
      <alignment horizontal="center"/>
    </xf>
    <xf numFmtId="165" fontId="11" fillId="5" borderId="9" xfId="1" applyNumberFormat="1" applyFont="1" applyFill="1" applyBorder="1" applyAlignment="1">
      <alignment horizontal="center"/>
    </xf>
    <xf numFmtId="165" fontId="11" fillId="6" borderId="7" xfId="1" applyNumberFormat="1" applyFont="1" applyFill="1" applyBorder="1" applyAlignment="1">
      <alignment horizontal="center"/>
    </xf>
    <xf numFmtId="165" fontId="11" fillId="6" borderId="8" xfId="1" applyNumberFormat="1" applyFont="1" applyFill="1" applyBorder="1" applyAlignment="1">
      <alignment horizontal="center"/>
    </xf>
    <xf numFmtId="165" fontId="11" fillId="6" borderId="9" xfId="1" applyNumberFormat="1" applyFont="1" applyFill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0" fontId="11" fillId="11" borderId="39" xfId="0" applyFont="1" applyFill="1" applyBorder="1" applyAlignment="1">
      <alignment horizontal="center" vertical="center"/>
    </xf>
    <xf numFmtId="0" fontId="11" fillId="12" borderId="33" xfId="0" applyFont="1" applyFill="1" applyBorder="1" applyAlignment="1">
      <alignment horizontal="center"/>
    </xf>
    <xf numFmtId="0" fontId="11" fillId="12" borderId="39" xfId="0" applyFont="1" applyFill="1" applyBorder="1" applyAlignment="1">
      <alignment horizontal="center"/>
    </xf>
    <xf numFmtId="0" fontId="11" fillId="0" borderId="5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164" fontId="11" fillId="0" borderId="1" xfId="1" applyFont="1" applyFill="1" applyBorder="1" applyAlignment="1">
      <alignment horizontal="center" vertical="center" wrapText="1"/>
    </xf>
    <xf numFmtId="164" fontId="11" fillId="0" borderId="2" xfId="1" applyFont="1" applyFill="1" applyBorder="1" applyAlignment="1">
      <alignment horizontal="center" vertical="center" wrapText="1"/>
    </xf>
    <xf numFmtId="164" fontId="11" fillId="0" borderId="31" xfId="1" applyFont="1" applyFill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81" xfId="0" applyFont="1" applyFill="1" applyBorder="1" applyAlignment="1">
      <alignment horizontal="center" vertical="center"/>
    </xf>
    <xf numFmtId="0" fontId="9" fillId="10" borderId="79" xfId="0" applyFont="1" applyFill="1" applyBorder="1" applyAlignment="1">
      <alignment horizontal="center" vertical="center"/>
    </xf>
    <xf numFmtId="0" fontId="9" fillId="10" borderId="80" xfId="0" applyFont="1" applyFill="1" applyBorder="1" applyAlignment="1">
      <alignment horizontal="center" vertical="center"/>
    </xf>
    <xf numFmtId="0" fontId="26" fillId="15" borderId="54" xfId="0" applyFont="1" applyFill="1" applyBorder="1" applyAlignment="1">
      <alignment horizontal="center" vertical="center" wrapText="1"/>
    </xf>
    <xf numFmtId="0" fontId="26" fillId="15" borderId="18" xfId="0" applyFont="1" applyFill="1" applyBorder="1" applyAlignment="1">
      <alignment horizontal="center" vertical="center" wrapText="1"/>
    </xf>
    <xf numFmtId="0" fontId="26" fillId="15" borderId="46" xfId="0" applyFont="1" applyFill="1" applyBorder="1" applyAlignment="1">
      <alignment horizontal="center" vertical="center" wrapText="1"/>
    </xf>
    <xf numFmtId="0" fontId="26" fillId="15" borderId="42" xfId="0" applyFont="1" applyFill="1" applyBorder="1" applyAlignment="1">
      <alignment horizontal="center" vertical="center" wrapText="1"/>
    </xf>
    <xf numFmtId="0" fontId="26" fillId="15" borderId="10" xfId="0" applyFont="1" applyFill="1" applyBorder="1" applyAlignment="1">
      <alignment horizontal="center" vertical="center" wrapText="1"/>
    </xf>
    <xf numFmtId="9" fontId="26" fillId="15" borderId="44" xfId="2" applyFont="1" applyFill="1" applyBorder="1" applyAlignment="1">
      <alignment horizontal="center" vertical="center" wrapText="1"/>
    </xf>
    <xf numFmtId="9" fontId="26" fillId="15" borderId="41" xfId="2" applyFont="1" applyFill="1" applyBorder="1" applyAlignment="1">
      <alignment horizontal="center" vertical="center" wrapText="1"/>
    </xf>
    <xf numFmtId="165" fontId="11" fillId="10" borderId="7" xfId="1" applyNumberFormat="1" applyFont="1" applyFill="1" applyBorder="1" applyAlignment="1">
      <alignment horizontal="center"/>
    </xf>
    <xf numFmtId="165" fontId="11" fillId="10" borderId="8" xfId="1" applyNumberFormat="1" applyFont="1" applyFill="1" applyBorder="1" applyAlignment="1">
      <alignment horizontal="center"/>
    </xf>
    <xf numFmtId="165" fontId="11" fillId="10" borderId="9" xfId="1" applyNumberFormat="1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26" fillId="15" borderId="43" xfId="0" applyFont="1" applyFill="1" applyBorder="1" applyAlignment="1">
      <alignment horizontal="center" vertical="center" wrapText="1"/>
    </xf>
    <xf numFmtId="0" fontId="26" fillId="15" borderId="40" xfId="0" applyFont="1" applyFill="1" applyBorder="1" applyAlignment="1">
      <alignment horizontal="center" vertical="center" wrapText="1"/>
    </xf>
    <xf numFmtId="0" fontId="0" fillId="0" borderId="0" xfId="0" applyNumberFormat="1"/>
  </cellXfs>
  <cellStyles count="6">
    <cellStyle name="Comma" xfId="1" builtinId="3"/>
    <cellStyle name="Comma 2" xfId="4" xr:uid="{6D8DDFE9-6B65-44C9-9207-9AF467094915}"/>
    <cellStyle name="Normal" xfId="0" builtinId="0"/>
    <cellStyle name="Normal 2" xfId="3" xr:uid="{B76BCD3D-F1F8-4771-B5B9-5C9A6A6D1013}"/>
    <cellStyle name="Percent" xfId="2" builtinId="5"/>
    <cellStyle name="Percent 2" xfId="5" xr:uid="{4BE1026A-0828-4B71-BBAE-E066AA4A13C7}"/>
  </cellStyles>
  <dxfs count="26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 DTC Analysis Report.xlsx]Sheet8!PivotTable6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Team</a:t>
            </a:r>
            <a:r>
              <a:rPr lang="en-US" sz="2800" b="1" baseline="0">
                <a:solidFill>
                  <a:schemeClr val="tx1"/>
                </a:solidFill>
              </a:rPr>
              <a:t> Performance </a:t>
            </a:r>
            <a:endParaRPr lang="en-US" sz="2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Sheet8!$B$34</c:f>
              <c:strCache>
                <c:ptCount val="1"/>
                <c:pt idx="0">
                  <c:v>Target_Volume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Sheet8!$B$35:$B$49</c:f>
              <c:numCache>
                <c:formatCode>General</c:formatCode>
                <c:ptCount val="14"/>
                <c:pt idx="0">
                  <c:v>252</c:v>
                </c:pt>
                <c:pt idx="1">
                  <c:v>3024</c:v>
                </c:pt>
                <c:pt idx="2">
                  <c:v>2268</c:v>
                </c:pt>
                <c:pt idx="3">
                  <c:v>2520</c:v>
                </c:pt>
                <c:pt idx="4">
                  <c:v>3024</c:v>
                </c:pt>
                <c:pt idx="5">
                  <c:v>2520</c:v>
                </c:pt>
                <c:pt idx="6">
                  <c:v>4032</c:v>
                </c:pt>
                <c:pt idx="7">
                  <c:v>3528</c:v>
                </c:pt>
                <c:pt idx="8">
                  <c:v>3528</c:v>
                </c:pt>
                <c:pt idx="9">
                  <c:v>3276</c:v>
                </c:pt>
                <c:pt idx="10">
                  <c:v>1008</c:v>
                </c:pt>
                <c:pt idx="11">
                  <c:v>2520</c:v>
                </c:pt>
                <c:pt idx="12">
                  <c:v>4284</c:v>
                </c:pt>
                <c:pt idx="13">
                  <c:v>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8-4965-8B39-64EC9EC3161E}"/>
            </c:ext>
          </c:extLst>
        </c:ser>
        <c:ser>
          <c:idx val="1"/>
          <c:order val="1"/>
          <c:tx>
            <c:strRef>
              <c:f>Sheet8!$C$34</c:f>
              <c:strCache>
                <c:ptCount val="1"/>
                <c:pt idx="0">
                  <c:v>Actual _Volume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Sheet8!$C$35:$C$49</c:f>
              <c:numCache>
                <c:formatCode>0</c:formatCode>
                <c:ptCount val="14"/>
                <c:pt idx="0">
                  <c:v>53</c:v>
                </c:pt>
                <c:pt idx="1">
                  <c:v>1686</c:v>
                </c:pt>
                <c:pt idx="2">
                  <c:v>674</c:v>
                </c:pt>
                <c:pt idx="3">
                  <c:v>2240</c:v>
                </c:pt>
                <c:pt idx="4">
                  <c:v>1326</c:v>
                </c:pt>
                <c:pt idx="5">
                  <c:v>1477</c:v>
                </c:pt>
                <c:pt idx="6">
                  <c:v>3399</c:v>
                </c:pt>
                <c:pt idx="7">
                  <c:v>2337</c:v>
                </c:pt>
                <c:pt idx="8">
                  <c:v>1756</c:v>
                </c:pt>
                <c:pt idx="9">
                  <c:v>2550</c:v>
                </c:pt>
                <c:pt idx="10">
                  <c:v>391</c:v>
                </c:pt>
                <c:pt idx="11">
                  <c:v>975</c:v>
                </c:pt>
                <c:pt idx="12">
                  <c:v>3804</c:v>
                </c:pt>
                <c:pt idx="1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8-4965-8B39-64EC9EC3161E}"/>
            </c:ext>
          </c:extLst>
        </c:ser>
        <c:ser>
          <c:idx val="2"/>
          <c:order val="2"/>
          <c:tx>
            <c:strRef>
              <c:f>Sheet8!$D$34</c:f>
              <c:strCache>
                <c:ptCount val="1"/>
                <c:pt idx="0">
                  <c:v> % Ach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Sheet8!$D$35:$D$49</c:f>
              <c:numCache>
                <c:formatCode>0%</c:formatCode>
                <c:ptCount val="14"/>
                <c:pt idx="0">
                  <c:v>0.21031746031746032</c:v>
                </c:pt>
                <c:pt idx="1">
                  <c:v>0.55753968253968256</c:v>
                </c:pt>
                <c:pt idx="2">
                  <c:v>0.29717813051146386</c:v>
                </c:pt>
                <c:pt idx="3">
                  <c:v>0.88888888888888884</c:v>
                </c:pt>
                <c:pt idx="4">
                  <c:v>0.43849206349206349</c:v>
                </c:pt>
                <c:pt idx="5">
                  <c:v>0.58611111111111114</c:v>
                </c:pt>
                <c:pt idx="6">
                  <c:v>0.84300595238095233</c:v>
                </c:pt>
                <c:pt idx="7">
                  <c:v>0.6624149659863946</c:v>
                </c:pt>
                <c:pt idx="8">
                  <c:v>0.49773242630385489</c:v>
                </c:pt>
                <c:pt idx="9">
                  <c:v>0.7783882783882784</c:v>
                </c:pt>
                <c:pt idx="10">
                  <c:v>0.38789682539682541</c:v>
                </c:pt>
                <c:pt idx="11">
                  <c:v>0.38690476190476192</c:v>
                </c:pt>
                <c:pt idx="12">
                  <c:v>0.88795518207282909</c:v>
                </c:pt>
                <c:pt idx="13">
                  <c:v>0.25510204081632654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8-4965-8B39-64EC9EC31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3"/>
        <c:axId val="1328052144"/>
        <c:axId val="1209755088"/>
      </c:barChart>
      <c:catAx>
        <c:axId val="132805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9755088"/>
        <c:crosses val="autoZero"/>
        <c:auto val="1"/>
        <c:lblAlgn val="ctr"/>
        <c:lblOffset val="100"/>
        <c:noMultiLvlLbl val="0"/>
      </c:catAx>
      <c:valAx>
        <c:axId val="1209755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80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691398882827781"/>
          <c:y val="0.34623116292519213"/>
          <c:w val="5.502550705454165E-2"/>
          <c:h val="0.22083422929134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 DTC Analysis Report.xlsx]Sheet8!PivotTable1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Expected No of Promoters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East 1</c:v>
                </c:pt>
                <c:pt idx="1">
                  <c:v>East 2</c:v>
                </c:pt>
                <c:pt idx="2">
                  <c:v>West 2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48</c:v>
                </c:pt>
                <c:pt idx="1">
                  <c:v>60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7-4CC8-B121-FB1DFBB47FBA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Actual Manning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East 1</c:v>
                </c:pt>
                <c:pt idx="1">
                  <c:v>East 2</c:v>
                </c:pt>
                <c:pt idx="2">
                  <c:v>West 2</c:v>
                </c:pt>
              </c:strCache>
            </c:strRef>
          </c:cat>
          <c:val>
            <c:numRef>
              <c:f>Sheet8!$C$4:$C$7</c:f>
              <c:numCache>
                <c:formatCode>General</c:formatCode>
                <c:ptCount val="3"/>
                <c:pt idx="0">
                  <c:v>48</c:v>
                </c:pt>
                <c:pt idx="1">
                  <c:v>60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7-4CC8-B121-FB1DFBB47FBA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% Ach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East 1</c:v>
                </c:pt>
                <c:pt idx="1">
                  <c:v>East 2</c:v>
                </c:pt>
                <c:pt idx="2">
                  <c:v>West 2</c:v>
                </c:pt>
              </c:strCache>
            </c:strRef>
          </c:cat>
          <c:val>
            <c:numRef>
              <c:f>Sheet8!$D$4:$D$7</c:f>
              <c:numCache>
                <c:formatCode>0%</c:formatCode>
                <c:ptCount val="3"/>
                <c:pt idx="0">
                  <c:v>0.56689342403628118</c:v>
                </c:pt>
                <c:pt idx="1">
                  <c:v>0.6000622471210707</c:v>
                </c:pt>
                <c:pt idx="2">
                  <c:v>0.66652494331065759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7-4CC8-B121-FB1DFBB47F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44614239"/>
        <c:axId val="1835144879"/>
      </c:barChart>
      <c:catAx>
        <c:axId val="194461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35144879"/>
        <c:crosses val="autoZero"/>
        <c:auto val="1"/>
        <c:lblAlgn val="ctr"/>
        <c:lblOffset val="100"/>
        <c:noMultiLvlLbl val="0"/>
      </c:catAx>
      <c:valAx>
        <c:axId val="183514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46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 DTC Analysis Report.xlsx]Sheet8!PivotTable6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Team</a:t>
            </a:r>
            <a:r>
              <a:rPr lang="en-US" b="1" baseline="0"/>
              <a:t> Performance </a:t>
            </a:r>
            <a:endParaRPr lang="en-US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Sheet8!$B$34</c:f>
              <c:strCache>
                <c:ptCount val="1"/>
                <c:pt idx="0">
                  <c:v>Target_Volume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Sheet8!$B$35:$B$49</c:f>
              <c:numCache>
                <c:formatCode>General</c:formatCode>
                <c:ptCount val="14"/>
                <c:pt idx="0">
                  <c:v>252</c:v>
                </c:pt>
                <c:pt idx="1">
                  <c:v>3024</c:v>
                </c:pt>
                <c:pt idx="2">
                  <c:v>2268</c:v>
                </c:pt>
                <c:pt idx="3">
                  <c:v>2520</c:v>
                </c:pt>
                <c:pt idx="4">
                  <c:v>3024</c:v>
                </c:pt>
                <c:pt idx="5">
                  <c:v>2520</c:v>
                </c:pt>
                <c:pt idx="6">
                  <c:v>4032</c:v>
                </c:pt>
                <c:pt idx="7">
                  <c:v>3528</c:v>
                </c:pt>
                <c:pt idx="8">
                  <c:v>3528</c:v>
                </c:pt>
                <c:pt idx="9">
                  <c:v>3276</c:v>
                </c:pt>
                <c:pt idx="10">
                  <c:v>1008</c:v>
                </c:pt>
                <c:pt idx="11">
                  <c:v>2520</c:v>
                </c:pt>
                <c:pt idx="12">
                  <c:v>4284</c:v>
                </c:pt>
                <c:pt idx="13">
                  <c:v>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F-45AB-8ECE-BC75ABB596F1}"/>
            </c:ext>
          </c:extLst>
        </c:ser>
        <c:ser>
          <c:idx val="1"/>
          <c:order val="1"/>
          <c:tx>
            <c:strRef>
              <c:f>Sheet8!$C$34</c:f>
              <c:strCache>
                <c:ptCount val="1"/>
                <c:pt idx="0">
                  <c:v>Actual _Volume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Sheet8!$C$35:$C$49</c:f>
              <c:numCache>
                <c:formatCode>0</c:formatCode>
                <c:ptCount val="14"/>
                <c:pt idx="0">
                  <c:v>53</c:v>
                </c:pt>
                <c:pt idx="1">
                  <c:v>1686</c:v>
                </c:pt>
                <c:pt idx="2">
                  <c:v>674</c:v>
                </c:pt>
                <c:pt idx="3">
                  <c:v>2240</c:v>
                </c:pt>
                <c:pt idx="4">
                  <c:v>1326</c:v>
                </c:pt>
                <c:pt idx="5">
                  <c:v>1477</c:v>
                </c:pt>
                <c:pt idx="6">
                  <c:v>3399</c:v>
                </c:pt>
                <c:pt idx="7">
                  <c:v>2337</c:v>
                </c:pt>
                <c:pt idx="8">
                  <c:v>1756</c:v>
                </c:pt>
                <c:pt idx="9">
                  <c:v>2550</c:v>
                </c:pt>
                <c:pt idx="10">
                  <c:v>391</c:v>
                </c:pt>
                <c:pt idx="11">
                  <c:v>975</c:v>
                </c:pt>
                <c:pt idx="12">
                  <c:v>3804</c:v>
                </c:pt>
                <c:pt idx="1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F-45AB-8ECE-BC75ABB596F1}"/>
            </c:ext>
          </c:extLst>
        </c:ser>
        <c:ser>
          <c:idx val="2"/>
          <c:order val="2"/>
          <c:tx>
            <c:strRef>
              <c:f>Sheet8!$D$34</c:f>
              <c:strCache>
                <c:ptCount val="1"/>
                <c:pt idx="0">
                  <c:v> % Ach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Sheet8!$A$35:$A$49</c:f>
              <c:strCache>
                <c:ptCount val="14"/>
                <c:pt idx="0">
                  <c:v>Aba</c:v>
                </c:pt>
                <c:pt idx="1">
                  <c:v>Ado-Ekiti</c:v>
                </c:pt>
                <c:pt idx="2">
                  <c:v>Asaba</c:v>
                </c:pt>
                <c:pt idx="3">
                  <c:v>Bayelsa</c:v>
                </c:pt>
                <c:pt idx="4">
                  <c:v>Calabar</c:v>
                </c:pt>
                <c:pt idx="5">
                  <c:v>Onitsha</c:v>
                </c:pt>
                <c:pt idx="6">
                  <c:v>Owerri</c:v>
                </c:pt>
                <c:pt idx="7">
                  <c:v>PHC 1</c:v>
                </c:pt>
                <c:pt idx="8">
                  <c:v>Uyo</c:v>
                </c:pt>
                <c:pt idx="9">
                  <c:v>Warri</c:v>
                </c:pt>
                <c:pt idx="10">
                  <c:v>Akure</c:v>
                </c:pt>
                <c:pt idx="11">
                  <c:v>Benin</c:v>
                </c:pt>
                <c:pt idx="12">
                  <c:v>Auchi</c:v>
                </c:pt>
                <c:pt idx="13">
                  <c:v>Enugu/Abakaliki</c:v>
                </c:pt>
              </c:strCache>
            </c:strRef>
          </c:cat>
          <c:val>
            <c:numRef>
              <c:f>Sheet8!$D$35:$D$49</c:f>
              <c:numCache>
                <c:formatCode>0%</c:formatCode>
                <c:ptCount val="14"/>
                <c:pt idx="0">
                  <c:v>0.21031746031746032</c:v>
                </c:pt>
                <c:pt idx="1">
                  <c:v>0.55753968253968256</c:v>
                </c:pt>
                <c:pt idx="2">
                  <c:v>0.29717813051146386</c:v>
                </c:pt>
                <c:pt idx="3">
                  <c:v>0.88888888888888884</c:v>
                </c:pt>
                <c:pt idx="4">
                  <c:v>0.43849206349206349</c:v>
                </c:pt>
                <c:pt idx="5">
                  <c:v>0.58611111111111114</c:v>
                </c:pt>
                <c:pt idx="6">
                  <c:v>0.84300595238095233</c:v>
                </c:pt>
                <c:pt idx="7">
                  <c:v>0.6624149659863946</c:v>
                </c:pt>
                <c:pt idx="8">
                  <c:v>0.49773242630385489</c:v>
                </c:pt>
                <c:pt idx="9">
                  <c:v>0.7783882783882784</c:v>
                </c:pt>
                <c:pt idx="10">
                  <c:v>0.38789682539682541</c:v>
                </c:pt>
                <c:pt idx="11">
                  <c:v>0.38690476190476192</c:v>
                </c:pt>
                <c:pt idx="12">
                  <c:v>0.88795518207282909</c:v>
                </c:pt>
                <c:pt idx="13">
                  <c:v>0.25510204081632654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9F-45AB-8ECE-BC75ABB5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3"/>
        <c:axId val="1328052144"/>
        <c:axId val="1209755088"/>
      </c:barChart>
      <c:catAx>
        <c:axId val="132805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9755088"/>
        <c:crosses val="autoZero"/>
        <c:auto val="1"/>
        <c:lblAlgn val="ctr"/>
        <c:lblOffset val="100"/>
        <c:noMultiLvlLbl val="0"/>
      </c:catAx>
      <c:valAx>
        <c:axId val="1209755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80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229107</xdr:colOff>
      <xdr:row>1</xdr:row>
      <xdr:rowOff>95958</xdr:rowOff>
    </xdr:from>
    <xdr:to>
      <xdr:col>21</xdr:col>
      <xdr:colOff>1296573</xdr:colOff>
      <xdr:row>5</xdr:row>
      <xdr:rowOff>47889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F17E767-71CB-46F7-A39F-182723B2F4BB}"/>
            </a:ext>
          </a:extLst>
        </xdr:cNvPr>
        <xdr:cNvSpPr/>
      </xdr:nvSpPr>
      <xdr:spPr>
        <a:xfrm>
          <a:off x="5937423" y="283116"/>
          <a:ext cx="14716624" cy="700562"/>
        </a:xfrm>
        <a:prstGeom prst="round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431797</xdr:colOff>
      <xdr:row>1</xdr:row>
      <xdr:rowOff>78827</xdr:rowOff>
    </xdr:from>
    <xdr:to>
      <xdr:col>19</xdr:col>
      <xdr:colOff>936390</xdr:colOff>
      <xdr:row>5</xdr:row>
      <xdr:rowOff>16505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85CC98-F10C-4B0B-B055-653F79EAA94F}"/>
            </a:ext>
          </a:extLst>
        </xdr:cNvPr>
        <xdr:cNvSpPr txBox="1"/>
      </xdr:nvSpPr>
      <xdr:spPr>
        <a:xfrm>
          <a:off x="6317590" y="262758"/>
          <a:ext cx="11120041" cy="673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5"/>
          <a:r>
            <a:rPr lang="en-US" sz="3600" b="1" i="0" baseline="0">
              <a:solidFill>
                <a:schemeClr val="bg1"/>
              </a:solidFill>
              <a:latin typeface="Segoe UI" panose="020B0502040204020203" pitchFamily="34" charset="0"/>
            </a:rPr>
            <a:t>HEM </a:t>
          </a:r>
          <a:r>
            <a:rPr lang="en-US" sz="3600" b="1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+mn-cs"/>
            </a:rPr>
            <a:t>DTC 2026 </a:t>
          </a:r>
          <a:r>
            <a:rPr lang="en-US" sz="3600" b="1" i="0" baseline="0">
              <a:solidFill>
                <a:schemeClr val="bg1"/>
              </a:solidFill>
              <a:latin typeface="Segoe UI" panose="020B0502040204020203" pitchFamily="34" charset="0"/>
            </a:rPr>
            <a:t>SALES</a:t>
          </a:r>
          <a:r>
            <a:rPr lang="en-US" sz="3600" b="1" i="0" baseline="0">
              <a:latin typeface="Segoe UI" panose="020B0502040204020203" pitchFamily="34" charset="0"/>
            </a:rPr>
            <a:t> </a:t>
          </a:r>
          <a:r>
            <a:rPr lang="en-US" sz="3600" b="1" i="0" baseline="0">
              <a:solidFill>
                <a:schemeClr val="bg1"/>
              </a:solidFill>
              <a:latin typeface="Segoe UI" panose="020B0502040204020203" pitchFamily="34" charset="0"/>
            </a:rPr>
            <a:t>DASHBOARD</a:t>
          </a:r>
          <a:r>
            <a:rPr lang="en-US" sz="3600" b="1" i="0" baseline="0">
              <a:latin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2</xdr:col>
      <xdr:colOff>137160</xdr:colOff>
      <xdr:row>19</xdr:row>
      <xdr:rowOff>15240</xdr:rowOff>
    </xdr:from>
    <xdr:to>
      <xdr:col>27</xdr:col>
      <xdr:colOff>609600</xdr:colOff>
      <xdr:row>53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37AEBE-601C-4999-98F7-96A280F79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2</xdr:row>
      <xdr:rowOff>148590</xdr:rowOff>
    </xdr:from>
    <xdr:to>
      <xdr:col>19</xdr:col>
      <xdr:colOff>274320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19CF7-11C7-71E2-161E-0AD796984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405579</xdr:colOff>
      <xdr:row>37</xdr:row>
      <xdr:rowOff>15977</xdr:rowOff>
    </xdr:from>
    <xdr:to>
      <xdr:col>21</xdr:col>
      <xdr:colOff>601742</xdr:colOff>
      <xdr:row>61</xdr:row>
      <xdr:rowOff>109283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C2711-A314-AFF7-A9B0-EB59A05EC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D%20Impact%20Marketing\Downloads\CHI%20DTC%20Report%2012-20-2024(1).xlsx" TargetMode="External"/><Relationship Id="rId1" Type="http://schemas.openxmlformats.org/officeDocument/2006/relationships/externalLinkPath" Target="CHI%20DTC%20Report%2012-20-2024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ly"/>
      <sheetName val="Total"/>
      <sheetName val="Total 2"/>
      <sheetName val="BA ATD"/>
      <sheetName val="ATD &gt;"/>
      <sheetName val="REGIONAL PTD"/>
      <sheetName val="NEW ATD PER TEAM"/>
      <sheetName val="Detail1"/>
      <sheetName val="Detail2"/>
      <sheetName val="Pivot"/>
      <sheetName val="Table"/>
      <sheetName val="Dashboard"/>
      <sheetName val="WEEKLY PTD"/>
      <sheetName val="SUMMARY"/>
      <sheetName val="WEEKLY PTD (2)"/>
      <sheetName val="Weekly Mandays"/>
      <sheetName val="Man days"/>
      <sheetName val="Sheet2"/>
      <sheetName val="Sheet3"/>
    </sheetNames>
    <sheetDataSet>
      <sheetData sheetId="0"/>
      <sheetData sheetId="1"/>
      <sheetData sheetId="2">
        <row r="4">
          <cell r="I4"/>
          <cell r="L4"/>
          <cell r="O4"/>
          <cell r="R4"/>
          <cell r="U4"/>
          <cell r="X4"/>
          <cell r="AA4"/>
          <cell r="AC4"/>
          <cell r="AD4"/>
          <cell r="AE4"/>
        </row>
        <row r="5">
          <cell r="I5"/>
          <cell r="L5"/>
          <cell r="O5"/>
          <cell r="R5"/>
          <cell r="U5"/>
          <cell r="X5"/>
          <cell r="AA5"/>
          <cell r="AC5" t="str">
            <v>Cash Reconciliation</v>
          </cell>
          <cell r="AD5"/>
          <cell r="AE5"/>
        </row>
        <row r="6">
          <cell r="I6"/>
          <cell r="L6" t="str">
            <v>Available Promoters</v>
          </cell>
          <cell r="O6"/>
          <cell r="R6"/>
          <cell r="U6"/>
          <cell r="X6"/>
          <cell r="AA6"/>
          <cell r="AC6"/>
          <cell r="AD6"/>
          <cell r="AE6"/>
        </row>
        <row r="7">
          <cell r="I7"/>
          <cell r="L7"/>
          <cell r="O7" t="str">
            <v>Actual</v>
          </cell>
          <cell r="R7" t="str">
            <v>Actual</v>
          </cell>
          <cell r="U7" t="str">
            <v>Actual</v>
          </cell>
          <cell r="X7" t="str">
            <v>Actual</v>
          </cell>
          <cell r="AA7" t="str">
            <v>Actual</v>
          </cell>
          <cell r="AC7" t="str">
            <v>Expected</v>
          </cell>
          <cell r="AD7" t="str">
            <v>Paid</v>
          </cell>
          <cell r="AE7" t="str">
            <v>Variance</v>
          </cell>
        </row>
        <row r="8">
          <cell r="I8" t="str">
            <v>Enugu Team 1</v>
          </cell>
          <cell r="L8">
            <v>0</v>
          </cell>
          <cell r="O8">
            <v>0</v>
          </cell>
          <cell r="R8">
            <v>0</v>
          </cell>
          <cell r="U8">
            <v>0</v>
          </cell>
          <cell r="X8">
            <v>0</v>
          </cell>
          <cell r="AA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I9" t="str">
            <v>Enugu Team 2</v>
          </cell>
          <cell r="L9">
            <v>0</v>
          </cell>
          <cell r="O9">
            <v>0</v>
          </cell>
          <cell r="R9">
            <v>0</v>
          </cell>
          <cell r="U9">
            <v>0</v>
          </cell>
          <cell r="X9">
            <v>0</v>
          </cell>
          <cell r="AA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I10" t="str">
            <v>Enugu Team 3</v>
          </cell>
          <cell r="L10">
            <v>0</v>
          </cell>
          <cell r="O10">
            <v>0</v>
          </cell>
          <cell r="R10">
            <v>0</v>
          </cell>
          <cell r="U10">
            <v>0</v>
          </cell>
          <cell r="X10">
            <v>0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I11" t="str">
            <v>Enugu Team 4</v>
          </cell>
          <cell r="L11">
            <v>0</v>
          </cell>
          <cell r="O11">
            <v>0</v>
          </cell>
          <cell r="R11">
            <v>0</v>
          </cell>
          <cell r="U11">
            <v>0</v>
          </cell>
          <cell r="X11">
            <v>0</v>
          </cell>
          <cell r="AA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I12" t="str">
            <v>Abakaliki Team 1</v>
          </cell>
          <cell r="L12">
            <v>0</v>
          </cell>
          <cell r="O12">
            <v>0</v>
          </cell>
          <cell r="R12">
            <v>0</v>
          </cell>
          <cell r="U12">
            <v>0</v>
          </cell>
          <cell r="X12">
            <v>0</v>
          </cell>
          <cell r="AA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I13" t="str">
            <v>Abakaliki Team 2</v>
          </cell>
          <cell r="L13">
            <v>0</v>
          </cell>
          <cell r="O13">
            <v>0</v>
          </cell>
          <cell r="R13">
            <v>0</v>
          </cell>
          <cell r="U13">
            <v>0</v>
          </cell>
          <cell r="X13">
            <v>0</v>
          </cell>
          <cell r="AA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I14" t="str">
            <v>Abakaliki Team 3</v>
          </cell>
          <cell r="L14">
            <v>0</v>
          </cell>
          <cell r="O14">
            <v>0</v>
          </cell>
          <cell r="R14">
            <v>0</v>
          </cell>
          <cell r="U14">
            <v>0</v>
          </cell>
          <cell r="X14">
            <v>0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I15" t="str">
            <v>Abakaliki Team 4</v>
          </cell>
          <cell r="L15">
            <v>0</v>
          </cell>
          <cell r="O15">
            <v>0</v>
          </cell>
          <cell r="R15">
            <v>0</v>
          </cell>
          <cell r="U15">
            <v>0</v>
          </cell>
          <cell r="X15">
            <v>0</v>
          </cell>
          <cell r="AA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I16" t="str">
            <v>Onitsha Team 1</v>
          </cell>
          <cell r="L16">
            <v>0</v>
          </cell>
          <cell r="O16">
            <v>0</v>
          </cell>
          <cell r="R16">
            <v>0</v>
          </cell>
          <cell r="U16">
            <v>0</v>
          </cell>
          <cell r="X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I17" t="str">
            <v>Onitsha Team 2</v>
          </cell>
          <cell r="L17">
            <v>0</v>
          </cell>
          <cell r="O17">
            <v>0</v>
          </cell>
          <cell r="R17">
            <v>0</v>
          </cell>
          <cell r="U17">
            <v>0</v>
          </cell>
          <cell r="X17">
            <v>0</v>
          </cell>
          <cell r="AA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I18" t="str">
            <v>Onitsha Team 3</v>
          </cell>
          <cell r="L18">
            <v>0</v>
          </cell>
          <cell r="O18">
            <v>0</v>
          </cell>
          <cell r="R18">
            <v>0</v>
          </cell>
          <cell r="U18">
            <v>0</v>
          </cell>
          <cell r="X18">
            <v>0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I19" t="str">
            <v>Onitsha Team 4</v>
          </cell>
          <cell r="L19">
            <v>0</v>
          </cell>
          <cell r="O19">
            <v>0</v>
          </cell>
          <cell r="R19">
            <v>0</v>
          </cell>
          <cell r="U19">
            <v>0</v>
          </cell>
          <cell r="X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I20" t="str">
            <v>ASABA Team 1</v>
          </cell>
          <cell r="L20">
            <v>7</v>
          </cell>
          <cell r="O20">
            <v>28</v>
          </cell>
          <cell r="R20">
            <v>27</v>
          </cell>
          <cell r="U20">
            <v>15</v>
          </cell>
          <cell r="X20">
            <v>15</v>
          </cell>
          <cell r="AA20">
            <v>13.7</v>
          </cell>
          <cell r="AC20">
            <v>850308</v>
          </cell>
          <cell r="AD20">
            <v>850308</v>
          </cell>
          <cell r="AE20">
            <v>0</v>
          </cell>
        </row>
        <row r="21">
          <cell r="I21" t="str">
            <v>ASABA Team 2</v>
          </cell>
          <cell r="L21">
            <v>0</v>
          </cell>
          <cell r="O21">
            <v>0</v>
          </cell>
          <cell r="R21">
            <v>0</v>
          </cell>
          <cell r="U21">
            <v>0</v>
          </cell>
          <cell r="X21">
            <v>0</v>
          </cell>
          <cell r="AA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I22" t="str">
            <v>ASABA Team 3</v>
          </cell>
          <cell r="L22">
            <v>0</v>
          </cell>
          <cell r="O22">
            <v>0</v>
          </cell>
          <cell r="R22">
            <v>0</v>
          </cell>
          <cell r="U22">
            <v>0</v>
          </cell>
          <cell r="X22">
            <v>0</v>
          </cell>
          <cell r="AA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I23" t="str">
            <v>ASABA Team 4</v>
          </cell>
          <cell r="L23">
            <v>0</v>
          </cell>
          <cell r="O23">
            <v>0</v>
          </cell>
          <cell r="R23">
            <v>0</v>
          </cell>
          <cell r="U23">
            <v>0</v>
          </cell>
          <cell r="X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I24" t="str">
            <v>OWERRI Team 1</v>
          </cell>
          <cell r="L24">
            <v>7</v>
          </cell>
          <cell r="O24">
            <v>0</v>
          </cell>
          <cell r="R24">
            <v>0</v>
          </cell>
          <cell r="U24">
            <v>0</v>
          </cell>
          <cell r="X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I25" t="str">
            <v>OWERRI Team 2</v>
          </cell>
          <cell r="L25">
            <v>7</v>
          </cell>
          <cell r="O25">
            <v>0</v>
          </cell>
          <cell r="R25">
            <v>0</v>
          </cell>
          <cell r="U25">
            <v>0</v>
          </cell>
          <cell r="X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I26" t="str">
            <v>OWERRI Team 3</v>
          </cell>
          <cell r="L26">
            <v>0</v>
          </cell>
          <cell r="O26">
            <v>0</v>
          </cell>
          <cell r="R26">
            <v>0</v>
          </cell>
          <cell r="U26">
            <v>0</v>
          </cell>
          <cell r="X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I27" t="str">
            <v>OWERRI Team 4</v>
          </cell>
          <cell r="L27">
            <v>0</v>
          </cell>
          <cell r="O27">
            <v>0</v>
          </cell>
          <cell r="R27">
            <v>0</v>
          </cell>
          <cell r="U27">
            <v>0</v>
          </cell>
          <cell r="X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I28" t="str">
            <v>ABA Team 1</v>
          </cell>
          <cell r="L28">
            <v>0</v>
          </cell>
          <cell r="O28">
            <v>0</v>
          </cell>
          <cell r="R28">
            <v>0</v>
          </cell>
          <cell r="U28">
            <v>0</v>
          </cell>
          <cell r="X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I29" t="str">
            <v>ABA Team 2</v>
          </cell>
          <cell r="L29">
            <v>0</v>
          </cell>
          <cell r="O29">
            <v>0</v>
          </cell>
          <cell r="R29">
            <v>0</v>
          </cell>
          <cell r="U29">
            <v>0</v>
          </cell>
          <cell r="X29">
            <v>0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I30" t="str">
            <v>ABA Team 3</v>
          </cell>
          <cell r="L30">
            <v>0</v>
          </cell>
          <cell r="O30">
            <v>0</v>
          </cell>
          <cell r="R30">
            <v>0</v>
          </cell>
          <cell r="U30">
            <v>0</v>
          </cell>
          <cell r="X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I31" t="str">
            <v>ABA Team 4</v>
          </cell>
          <cell r="L31">
            <v>0</v>
          </cell>
          <cell r="O31">
            <v>0</v>
          </cell>
          <cell r="R31">
            <v>0</v>
          </cell>
          <cell r="U31">
            <v>0</v>
          </cell>
          <cell r="X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I32" t="str">
            <v>PHC 1 Team 1</v>
          </cell>
          <cell r="L32">
            <v>11</v>
          </cell>
          <cell r="O32">
            <v>50.1</v>
          </cell>
          <cell r="R32">
            <v>39</v>
          </cell>
          <cell r="U32">
            <v>60</v>
          </cell>
          <cell r="X32">
            <v>67</v>
          </cell>
          <cell r="AA32">
            <v>80</v>
          </cell>
          <cell r="AC32">
            <v>2131704</v>
          </cell>
          <cell r="AD32">
            <v>2131704</v>
          </cell>
          <cell r="AE32">
            <v>0</v>
          </cell>
        </row>
        <row r="33">
          <cell r="I33" t="str">
            <v>PHC 1 Team 2</v>
          </cell>
          <cell r="L33">
            <v>11</v>
          </cell>
          <cell r="O33">
            <v>29.5</v>
          </cell>
          <cell r="R33">
            <v>10</v>
          </cell>
          <cell r="U33">
            <v>50</v>
          </cell>
          <cell r="X33">
            <v>37</v>
          </cell>
          <cell r="AA33">
            <v>47</v>
          </cell>
          <cell r="AC33">
            <v>1128120</v>
          </cell>
          <cell r="AD33">
            <v>1128120</v>
          </cell>
          <cell r="AE33">
            <v>0</v>
          </cell>
        </row>
        <row r="34">
          <cell r="I34" t="str">
            <v>PHC 1 Team 3</v>
          </cell>
          <cell r="L34">
            <v>0</v>
          </cell>
          <cell r="O34">
            <v>0</v>
          </cell>
          <cell r="R34">
            <v>0</v>
          </cell>
          <cell r="U34">
            <v>0</v>
          </cell>
          <cell r="X34">
            <v>0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I35" t="str">
            <v>PHC 1 Team 4</v>
          </cell>
          <cell r="L35">
            <v>0</v>
          </cell>
          <cell r="O35">
            <v>0</v>
          </cell>
          <cell r="R35">
            <v>0</v>
          </cell>
          <cell r="U35">
            <v>0</v>
          </cell>
          <cell r="X35">
            <v>0</v>
          </cell>
          <cell r="AA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I36" t="str">
            <v>PHC 2 Team 1</v>
          </cell>
          <cell r="L36">
            <v>5</v>
          </cell>
          <cell r="O36">
            <v>29</v>
          </cell>
          <cell r="R36">
            <v>29</v>
          </cell>
          <cell r="U36">
            <v>50.1</v>
          </cell>
          <cell r="X36">
            <v>15</v>
          </cell>
          <cell r="AA36">
            <v>5</v>
          </cell>
          <cell r="AC36">
            <v>939972</v>
          </cell>
          <cell r="AD36">
            <v>939972</v>
          </cell>
          <cell r="AE36">
            <v>0</v>
          </cell>
        </row>
        <row r="37">
          <cell r="I37" t="str">
            <v>PHC 2 Team 2</v>
          </cell>
          <cell r="L37">
            <v>5</v>
          </cell>
          <cell r="O37">
            <v>20</v>
          </cell>
          <cell r="R37">
            <v>20</v>
          </cell>
          <cell r="U37">
            <v>20</v>
          </cell>
          <cell r="X37">
            <v>5</v>
          </cell>
          <cell r="AA37">
            <v>6.4</v>
          </cell>
          <cell r="AC37">
            <v>585036</v>
          </cell>
          <cell r="AD37">
            <v>585036</v>
          </cell>
          <cell r="AE37">
            <v>0</v>
          </cell>
        </row>
        <row r="38">
          <cell r="I38" t="str">
            <v>PHC 2 Team 3</v>
          </cell>
          <cell r="L38">
            <v>0</v>
          </cell>
          <cell r="O38">
            <v>0</v>
          </cell>
          <cell r="R38">
            <v>0</v>
          </cell>
          <cell r="U38">
            <v>0</v>
          </cell>
          <cell r="X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I39" t="str">
            <v>PHC 2 Team 4</v>
          </cell>
          <cell r="L39">
            <v>0</v>
          </cell>
          <cell r="O39">
            <v>0</v>
          </cell>
          <cell r="R39">
            <v>0</v>
          </cell>
          <cell r="U39">
            <v>0</v>
          </cell>
          <cell r="X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I40" t="str">
            <v>BAYELSA Team 1</v>
          </cell>
          <cell r="L40">
            <v>8</v>
          </cell>
          <cell r="O40">
            <v>59.5</v>
          </cell>
          <cell r="R40">
            <v>70</v>
          </cell>
          <cell r="U40">
            <v>50</v>
          </cell>
          <cell r="X40">
            <v>40</v>
          </cell>
          <cell r="AA40">
            <v>39</v>
          </cell>
          <cell r="AC40">
            <v>2131740</v>
          </cell>
          <cell r="AD40">
            <v>2131740</v>
          </cell>
          <cell r="AE40">
            <v>0</v>
          </cell>
        </row>
        <row r="41">
          <cell r="I41" t="str">
            <v>BAYELSA Team 2</v>
          </cell>
          <cell r="L41">
            <v>4</v>
          </cell>
          <cell r="O41">
            <v>26.4</v>
          </cell>
          <cell r="R41">
            <v>50</v>
          </cell>
          <cell r="U41">
            <v>15.9</v>
          </cell>
          <cell r="X41">
            <v>30</v>
          </cell>
          <cell r="AA41">
            <v>24.1</v>
          </cell>
          <cell r="AC41">
            <v>1279008</v>
          </cell>
          <cell r="AD41">
            <v>1279008</v>
          </cell>
          <cell r="AE41">
            <v>0</v>
          </cell>
        </row>
        <row r="42">
          <cell r="I42" t="str">
            <v>BAYELSA Team 3</v>
          </cell>
          <cell r="L42">
            <v>0</v>
          </cell>
          <cell r="O42">
            <v>0</v>
          </cell>
          <cell r="R42">
            <v>0</v>
          </cell>
          <cell r="U42">
            <v>0</v>
          </cell>
          <cell r="X42">
            <v>0</v>
          </cell>
          <cell r="AA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I43" t="str">
            <v>BAYELSA Team 4</v>
          </cell>
          <cell r="L43">
            <v>0</v>
          </cell>
          <cell r="O43">
            <v>0</v>
          </cell>
          <cell r="R43">
            <v>0</v>
          </cell>
          <cell r="U43">
            <v>0</v>
          </cell>
          <cell r="X43">
            <v>0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I44" t="str">
            <v>UYO Team 1</v>
          </cell>
          <cell r="L44">
            <v>4</v>
          </cell>
          <cell r="O44">
            <v>13</v>
          </cell>
          <cell r="R44">
            <v>9</v>
          </cell>
          <cell r="U44">
            <v>0</v>
          </cell>
          <cell r="X44">
            <v>18.100000000000001</v>
          </cell>
          <cell r="AA44">
            <v>15</v>
          </cell>
          <cell r="AC44">
            <v>460038</v>
          </cell>
          <cell r="AD44">
            <v>460038</v>
          </cell>
          <cell r="AE44">
            <v>0</v>
          </cell>
        </row>
        <row r="45">
          <cell r="I45" t="str">
            <v>UYO Team 2</v>
          </cell>
          <cell r="L45">
            <v>4</v>
          </cell>
          <cell r="O45">
            <v>16.5</v>
          </cell>
          <cell r="R45">
            <v>11</v>
          </cell>
          <cell r="U45">
            <v>0</v>
          </cell>
          <cell r="X45">
            <v>15</v>
          </cell>
          <cell r="AA45">
            <v>15.1</v>
          </cell>
          <cell r="AC45">
            <v>500184</v>
          </cell>
          <cell r="AD45">
            <v>500184</v>
          </cell>
          <cell r="AE45">
            <v>0</v>
          </cell>
        </row>
        <row r="46">
          <cell r="I46" t="str">
            <v>UYO Team 3</v>
          </cell>
          <cell r="L46">
            <v>0</v>
          </cell>
          <cell r="O46">
            <v>0</v>
          </cell>
          <cell r="R46">
            <v>0</v>
          </cell>
          <cell r="U46">
            <v>0</v>
          </cell>
          <cell r="X46">
            <v>0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I47" t="str">
            <v>UYO Team 4</v>
          </cell>
          <cell r="L47">
            <v>0</v>
          </cell>
          <cell r="O47">
            <v>0</v>
          </cell>
          <cell r="R47">
            <v>0</v>
          </cell>
          <cell r="U47">
            <v>0</v>
          </cell>
          <cell r="X47">
            <v>0</v>
          </cell>
          <cell r="AA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I48" t="str">
            <v>CALABAR Team 1</v>
          </cell>
          <cell r="L48">
            <v>5</v>
          </cell>
          <cell r="O48">
            <v>0</v>
          </cell>
          <cell r="R48">
            <v>15</v>
          </cell>
          <cell r="U48">
            <v>15.1</v>
          </cell>
          <cell r="X48">
            <v>10</v>
          </cell>
          <cell r="AA48">
            <v>8.5</v>
          </cell>
          <cell r="AC48">
            <v>347952</v>
          </cell>
          <cell r="AD48">
            <v>347952</v>
          </cell>
          <cell r="AE48">
            <v>0</v>
          </cell>
        </row>
        <row r="49">
          <cell r="I49" t="str">
            <v>CALABAR Team 2</v>
          </cell>
          <cell r="L49">
            <v>8</v>
          </cell>
          <cell r="O49">
            <v>1</v>
          </cell>
          <cell r="R49">
            <v>54</v>
          </cell>
          <cell r="U49">
            <v>59</v>
          </cell>
          <cell r="X49">
            <v>23</v>
          </cell>
          <cell r="AA49">
            <v>25.4</v>
          </cell>
          <cell r="AC49">
            <v>1156956</v>
          </cell>
          <cell r="AD49">
            <v>1156956</v>
          </cell>
          <cell r="AE49">
            <v>0</v>
          </cell>
        </row>
        <row r="50">
          <cell r="I50" t="str">
            <v>CALABAR Team 3</v>
          </cell>
          <cell r="L50">
            <v>8</v>
          </cell>
          <cell r="O50">
            <v>0</v>
          </cell>
          <cell r="R50">
            <v>30</v>
          </cell>
          <cell r="U50">
            <v>40.1</v>
          </cell>
          <cell r="X50">
            <v>27</v>
          </cell>
          <cell r="AA50">
            <v>21.4</v>
          </cell>
          <cell r="AC50">
            <v>801708</v>
          </cell>
          <cell r="AD50">
            <v>801708</v>
          </cell>
          <cell r="AE50">
            <v>0</v>
          </cell>
        </row>
        <row r="51">
          <cell r="I51" t="str">
            <v>CALABAR Team 4</v>
          </cell>
          <cell r="L51">
            <v>0</v>
          </cell>
          <cell r="O51">
            <v>0</v>
          </cell>
          <cell r="R51">
            <v>0</v>
          </cell>
          <cell r="U51">
            <v>0</v>
          </cell>
          <cell r="X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I52" t="str">
            <v>IBADAN I Team 1</v>
          </cell>
          <cell r="L52">
            <v>4</v>
          </cell>
          <cell r="O52">
            <v>40</v>
          </cell>
          <cell r="R52">
            <v>60.02</v>
          </cell>
          <cell r="X52">
            <v>0</v>
          </cell>
          <cell r="AA52">
            <v>153.07</v>
          </cell>
          <cell r="AC52">
            <v>2092996.8</v>
          </cell>
          <cell r="AD52">
            <v>2092997</v>
          </cell>
          <cell r="AE52">
            <v>0.20000000018626499</v>
          </cell>
        </row>
        <row r="53">
          <cell r="I53" t="str">
            <v>IBADAN I Team 2</v>
          </cell>
          <cell r="L53">
            <v>4</v>
          </cell>
          <cell r="O53">
            <v>0</v>
          </cell>
          <cell r="R53">
            <v>0</v>
          </cell>
          <cell r="X53">
            <v>0</v>
          </cell>
          <cell r="AA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I54" t="str">
            <v>IBADAN I Team 3</v>
          </cell>
          <cell r="L54">
            <v>4</v>
          </cell>
          <cell r="O54">
            <v>0</v>
          </cell>
          <cell r="R54">
            <v>0</v>
          </cell>
          <cell r="X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I55" t="str">
            <v>IBADAN I Team 4</v>
          </cell>
          <cell r="L55">
            <v>4</v>
          </cell>
          <cell r="O55">
            <v>0</v>
          </cell>
          <cell r="R55">
            <v>0</v>
          </cell>
          <cell r="X55">
            <v>0</v>
          </cell>
          <cell r="AA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I56" t="str">
            <v>IBADAN II Team 1</v>
          </cell>
          <cell r="L56">
            <v>4</v>
          </cell>
          <cell r="O56">
            <v>40</v>
          </cell>
          <cell r="R56">
            <v>35</v>
          </cell>
          <cell r="X56">
            <v>34.793999999999997</v>
          </cell>
          <cell r="AA56">
            <v>35</v>
          </cell>
          <cell r="AC56">
            <v>1291903.32</v>
          </cell>
          <cell r="AD56">
            <v>1291903.32</v>
          </cell>
          <cell r="AE56">
            <v>0</v>
          </cell>
        </row>
        <row r="57">
          <cell r="I57" t="str">
            <v>IBADAN II Team 2</v>
          </cell>
          <cell r="L57">
            <v>4</v>
          </cell>
          <cell r="O57">
            <v>0</v>
          </cell>
          <cell r="R57">
            <v>0</v>
          </cell>
          <cell r="X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I58" t="str">
            <v>IBADAN II Team 3</v>
          </cell>
          <cell r="L58">
            <v>4</v>
          </cell>
          <cell r="O58">
            <v>0</v>
          </cell>
          <cell r="R58">
            <v>0</v>
          </cell>
          <cell r="X58">
            <v>0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I59" t="str">
            <v>IBADAN II Team 4</v>
          </cell>
          <cell r="L59">
            <v>4</v>
          </cell>
          <cell r="O59">
            <v>0</v>
          </cell>
          <cell r="R59">
            <v>0</v>
          </cell>
          <cell r="X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I60" t="str">
            <v>OSHOGBO Team 1</v>
          </cell>
          <cell r="L60">
            <v>5</v>
          </cell>
          <cell r="O60">
            <v>0</v>
          </cell>
          <cell r="R60">
            <v>0</v>
          </cell>
          <cell r="X60">
            <v>0</v>
          </cell>
          <cell r="AA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I61" t="str">
            <v>OSHOGBO Team 2</v>
          </cell>
          <cell r="L61">
            <v>2</v>
          </cell>
          <cell r="O61">
            <v>3.8250000000000002</v>
          </cell>
          <cell r="R61">
            <v>7.375</v>
          </cell>
          <cell r="X61">
            <v>13.752000000000001</v>
          </cell>
          <cell r="AA61">
            <v>13.513999999999999</v>
          </cell>
          <cell r="AC61">
            <v>305998.92</v>
          </cell>
          <cell r="AD61">
            <v>305998.92</v>
          </cell>
          <cell r="AE61">
            <v>0</v>
          </cell>
        </row>
        <row r="62">
          <cell r="I62" t="str">
            <v>OSHOGBO Team 3</v>
          </cell>
          <cell r="L62">
            <v>0</v>
          </cell>
          <cell r="O62">
            <v>0</v>
          </cell>
          <cell r="R62">
            <v>0</v>
          </cell>
          <cell r="X62">
            <v>0</v>
          </cell>
          <cell r="AA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I63" t="str">
            <v>OSHOGBO Team 4</v>
          </cell>
          <cell r="L63">
            <v>0</v>
          </cell>
          <cell r="O63">
            <v>0</v>
          </cell>
          <cell r="R63">
            <v>0</v>
          </cell>
          <cell r="X63">
            <v>0</v>
          </cell>
          <cell r="AA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I64" t="str">
            <v>ILORIN  Team 1</v>
          </cell>
          <cell r="L64">
            <v>7</v>
          </cell>
          <cell r="O64">
            <v>10</v>
          </cell>
          <cell r="R64">
            <v>6.391</v>
          </cell>
          <cell r="X64">
            <v>10</v>
          </cell>
          <cell r="AA64">
            <v>10</v>
          </cell>
          <cell r="AC64">
            <v>311292</v>
          </cell>
          <cell r="AD64">
            <v>311292</v>
          </cell>
          <cell r="AE64">
            <v>0</v>
          </cell>
        </row>
        <row r="65">
          <cell r="I65" t="str">
            <v>ILORIN  Team 2</v>
          </cell>
          <cell r="L65">
            <v>7</v>
          </cell>
          <cell r="O65">
            <v>0</v>
          </cell>
          <cell r="R65">
            <v>0</v>
          </cell>
          <cell r="X65">
            <v>0</v>
          </cell>
          <cell r="AA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I66" t="str">
            <v>ILORIN  Team 3</v>
          </cell>
          <cell r="L66">
            <v>0</v>
          </cell>
          <cell r="O66">
            <v>0</v>
          </cell>
          <cell r="R66">
            <v>0</v>
          </cell>
          <cell r="X66">
            <v>0</v>
          </cell>
          <cell r="AA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I67" t="str">
            <v>ILORIN  Team 4</v>
          </cell>
          <cell r="L67">
            <v>0</v>
          </cell>
          <cell r="O67">
            <v>0</v>
          </cell>
          <cell r="R67">
            <v>0</v>
          </cell>
          <cell r="X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I68" t="str">
            <v>BENIN 1 Team 1</v>
          </cell>
          <cell r="L68">
            <v>5</v>
          </cell>
          <cell r="O68">
            <v>35</v>
          </cell>
          <cell r="R68">
            <v>34</v>
          </cell>
          <cell r="X68">
            <v>40</v>
          </cell>
          <cell r="AA68">
            <v>45.256</v>
          </cell>
          <cell r="AC68">
            <v>1326997.44</v>
          </cell>
          <cell r="AD68">
            <v>1326997.44</v>
          </cell>
          <cell r="AE68">
            <v>0</v>
          </cell>
        </row>
        <row r="69">
          <cell r="I69" t="str">
            <v>BENIN 1 Team 2</v>
          </cell>
          <cell r="L69">
            <v>5</v>
          </cell>
          <cell r="O69">
            <v>0</v>
          </cell>
          <cell r="R69">
            <v>0</v>
          </cell>
          <cell r="X69">
            <v>0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I70" t="str">
            <v>BENIN 1 Team 3</v>
          </cell>
          <cell r="L70">
            <v>4</v>
          </cell>
          <cell r="O70">
            <v>0</v>
          </cell>
          <cell r="R70">
            <v>0</v>
          </cell>
          <cell r="X70">
            <v>0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I71" t="str">
            <v>BENIN 1 Team 4</v>
          </cell>
          <cell r="L71">
            <v>0</v>
          </cell>
          <cell r="O71">
            <v>0</v>
          </cell>
          <cell r="R71">
            <v>0</v>
          </cell>
          <cell r="X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I72" t="str">
            <v>BENIN II Team 1</v>
          </cell>
          <cell r="L72">
            <v>7</v>
          </cell>
          <cell r="O72">
            <v>15</v>
          </cell>
          <cell r="R72">
            <v>10</v>
          </cell>
          <cell r="X72">
            <v>15</v>
          </cell>
          <cell r="AA72">
            <v>30.49</v>
          </cell>
          <cell r="AC72">
            <v>568557.6</v>
          </cell>
          <cell r="AD72">
            <v>568557.6</v>
          </cell>
          <cell r="AE72">
            <v>0</v>
          </cell>
        </row>
        <row r="73">
          <cell r="I73" t="str">
            <v>BENIN II Team 2</v>
          </cell>
          <cell r="L73">
            <v>7</v>
          </cell>
          <cell r="O73">
            <v>0</v>
          </cell>
          <cell r="R73">
            <v>0</v>
          </cell>
          <cell r="X73">
            <v>0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I74" t="str">
            <v>BENIN II Team 3</v>
          </cell>
          <cell r="L74">
            <v>0</v>
          </cell>
          <cell r="O74">
            <v>0</v>
          </cell>
          <cell r="R74">
            <v>0</v>
          </cell>
          <cell r="X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I75" t="str">
            <v>BENIN II Team 4</v>
          </cell>
          <cell r="L75">
            <v>0</v>
          </cell>
          <cell r="O75">
            <v>0</v>
          </cell>
          <cell r="R75">
            <v>0</v>
          </cell>
          <cell r="X75">
            <v>0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I76" t="str">
            <v>AKURE 1(Ado-Ekiti/Ondo) Team 1</v>
          </cell>
          <cell r="L76">
            <v>0</v>
          </cell>
          <cell r="O76">
            <v>0</v>
          </cell>
          <cell r="R76">
            <v>0</v>
          </cell>
          <cell r="X76">
            <v>0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I77" t="str">
            <v>AKURE 1(Ado-Ekiti/Ondo) Team 2</v>
          </cell>
          <cell r="L77">
            <v>5</v>
          </cell>
          <cell r="O77">
            <v>5</v>
          </cell>
          <cell r="R77">
            <v>5</v>
          </cell>
          <cell r="X77">
            <v>29.469000000000001</v>
          </cell>
          <cell r="AA77">
            <v>25</v>
          </cell>
          <cell r="AC77">
            <v>467999.82</v>
          </cell>
          <cell r="AD77">
            <v>467999.82</v>
          </cell>
          <cell r="AE77">
            <v>0</v>
          </cell>
        </row>
        <row r="78">
          <cell r="I78" t="str">
            <v>AKURE 1(Ado-Ekiti/Ondo) Team 3</v>
          </cell>
          <cell r="L78">
            <v>0</v>
          </cell>
          <cell r="O78">
            <v>0</v>
          </cell>
          <cell r="R78">
            <v>0</v>
          </cell>
          <cell r="X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I79" t="str">
            <v>AKURE 1(Ado-Ekiti/Ondo) Team 4</v>
          </cell>
          <cell r="L79">
            <v>0</v>
          </cell>
          <cell r="O79">
            <v>0</v>
          </cell>
          <cell r="R79">
            <v>0</v>
          </cell>
          <cell r="X79">
            <v>0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I80" t="str">
            <v>AKURE II Team 1</v>
          </cell>
          <cell r="L80">
            <v>7</v>
          </cell>
          <cell r="O80">
            <v>0</v>
          </cell>
          <cell r="R80">
            <v>0</v>
          </cell>
          <cell r="X80">
            <v>0</v>
          </cell>
          <cell r="AA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I81" t="str">
            <v>AKURE II Team 2</v>
          </cell>
          <cell r="L81">
            <v>0</v>
          </cell>
          <cell r="O81">
            <v>50</v>
          </cell>
          <cell r="R81">
            <v>36</v>
          </cell>
          <cell r="X81">
            <v>40.5</v>
          </cell>
          <cell r="AA81">
            <v>40.29</v>
          </cell>
          <cell r="AC81">
            <v>1479999.6</v>
          </cell>
          <cell r="AD81">
            <v>1479999.6</v>
          </cell>
          <cell r="AE81">
            <v>0</v>
          </cell>
        </row>
        <row r="82">
          <cell r="I82" t="str">
            <v>AKURE II Team 3</v>
          </cell>
          <cell r="L82">
            <v>0</v>
          </cell>
          <cell r="O82">
            <v>0</v>
          </cell>
          <cell r="R82">
            <v>0</v>
          </cell>
          <cell r="X82">
            <v>0</v>
          </cell>
          <cell r="AA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I83" t="str">
            <v>AKURE II Team 4</v>
          </cell>
          <cell r="L83">
            <v>0</v>
          </cell>
          <cell r="O83">
            <v>0</v>
          </cell>
          <cell r="R83">
            <v>0</v>
          </cell>
          <cell r="X83">
            <v>0</v>
          </cell>
          <cell r="AA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I84" t="str">
            <v>WARRI Team 1</v>
          </cell>
          <cell r="L84">
            <v>7</v>
          </cell>
          <cell r="O84">
            <v>20</v>
          </cell>
          <cell r="R84">
            <v>10</v>
          </cell>
          <cell r="X84">
            <v>0</v>
          </cell>
          <cell r="AA84">
            <v>8.7739999999999991</v>
          </cell>
          <cell r="AC84">
            <v>383549.76</v>
          </cell>
          <cell r="AD84">
            <v>383549.76</v>
          </cell>
          <cell r="AE84">
            <v>0</v>
          </cell>
        </row>
        <row r="85">
          <cell r="I85" t="str">
            <v>WARRI Team 2</v>
          </cell>
          <cell r="L85">
            <v>0</v>
          </cell>
          <cell r="O85">
            <v>0</v>
          </cell>
          <cell r="R85">
            <v>0</v>
          </cell>
          <cell r="X85">
            <v>0</v>
          </cell>
          <cell r="AA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I86" t="str">
            <v>WARRI Team 3</v>
          </cell>
          <cell r="L86">
            <v>0</v>
          </cell>
          <cell r="O86">
            <v>0</v>
          </cell>
          <cell r="R86">
            <v>0</v>
          </cell>
          <cell r="X86">
            <v>0</v>
          </cell>
          <cell r="AA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I87" t="str">
            <v>WARRI Team 4</v>
          </cell>
          <cell r="L87">
            <v>0</v>
          </cell>
          <cell r="O87">
            <v>0</v>
          </cell>
          <cell r="R87">
            <v>0</v>
          </cell>
          <cell r="X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I88" t="str">
            <v>Enugu Team 1</v>
          </cell>
          <cell r="L88">
            <v>7</v>
          </cell>
          <cell r="O88">
            <v>6</v>
          </cell>
          <cell r="R88">
            <v>30</v>
          </cell>
          <cell r="U88">
            <v>9</v>
          </cell>
          <cell r="X88">
            <v>0</v>
          </cell>
          <cell r="AA88">
            <v>0</v>
          </cell>
          <cell r="AC88">
            <v>450720</v>
          </cell>
          <cell r="AD88">
            <v>450720</v>
          </cell>
          <cell r="AE88">
            <v>0</v>
          </cell>
        </row>
        <row r="89">
          <cell r="I89" t="str">
            <v>Enugu Team 2</v>
          </cell>
          <cell r="L89">
            <v>4</v>
          </cell>
          <cell r="O89">
            <v>2.1</v>
          </cell>
          <cell r="R89">
            <v>8</v>
          </cell>
          <cell r="U89">
            <v>4</v>
          </cell>
          <cell r="X89">
            <v>0</v>
          </cell>
          <cell r="AA89">
            <v>0</v>
          </cell>
          <cell r="AC89">
            <v>130404</v>
          </cell>
          <cell r="AD89">
            <v>130404</v>
          </cell>
          <cell r="AE89">
            <v>0</v>
          </cell>
        </row>
        <row r="90">
          <cell r="I90" t="str">
            <v>Enugu Team 3</v>
          </cell>
          <cell r="L90">
            <v>3</v>
          </cell>
          <cell r="O90">
            <v>4</v>
          </cell>
          <cell r="R90">
            <v>8.4</v>
          </cell>
          <cell r="U90">
            <v>9</v>
          </cell>
          <cell r="X90">
            <v>0</v>
          </cell>
          <cell r="AA90">
            <v>0</v>
          </cell>
          <cell r="AC90">
            <v>170640</v>
          </cell>
          <cell r="AD90">
            <v>170640</v>
          </cell>
          <cell r="AE90">
            <v>0</v>
          </cell>
        </row>
        <row r="91">
          <cell r="I91" t="str">
            <v>Enugu Team 4</v>
          </cell>
          <cell r="L91">
            <v>0</v>
          </cell>
          <cell r="O91">
            <v>0</v>
          </cell>
          <cell r="R91">
            <v>0</v>
          </cell>
          <cell r="U91">
            <v>0</v>
          </cell>
          <cell r="X91">
            <v>0</v>
          </cell>
          <cell r="AA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I92" t="str">
            <v>Abakaliki Team 1</v>
          </cell>
          <cell r="L92">
            <v>5</v>
          </cell>
          <cell r="O92">
            <v>16</v>
          </cell>
          <cell r="R92">
            <v>5</v>
          </cell>
          <cell r="U92">
            <v>0</v>
          </cell>
          <cell r="X92">
            <v>15</v>
          </cell>
          <cell r="AA92">
            <v>16.100000000000001</v>
          </cell>
          <cell r="AC92">
            <v>429204</v>
          </cell>
          <cell r="AD92">
            <v>429204</v>
          </cell>
          <cell r="AE92">
            <v>0</v>
          </cell>
        </row>
        <row r="93">
          <cell r="I93" t="str">
            <v>Abakaliki Team 2</v>
          </cell>
          <cell r="L93">
            <v>5</v>
          </cell>
          <cell r="O93">
            <v>10</v>
          </cell>
          <cell r="R93">
            <v>7</v>
          </cell>
          <cell r="U93">
            <v>0</v>
          </cell>
          <cell r="X93">
            <v>10</v>
          </cell>
          <cell r="AA93">
            <v>16.399999999999999</v>
          </cell>
          <cell r="AC93">
            <v>358536</v>
          </cell>
          <cell r="AD93">
            <v>358536</v>
          </cell>
          <cell r="AE93">
            <v>0</v>
          </cell>
        </row>
        <row r="94">
          <cell r="I94" t="str">
            <v>Abakaliki Team 3</v>
          </cell>
          <cell r="L94">
            <v>0</v>
          </cell>
          <cell r="O94">
            <v>0</v>
          </cell>
          <cell r="R94">
            <v>0</v>
          </cell>
          <cell r="U94">
            <v>0</v>
          </cell>
          <cell r="X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I95" t="str">
            <v>Abakaliki Team 4</v>
          </cell>
          <cell r="L95">
            <v>0</v>
          </cell>
          <cell r="O95">
            <v>0</v>
          </cell>
          <cell r="R95">
            <v>0</v>
          </cell>
          <cell r="U95">
            <v>0</v>
          </cell>
          <cell r="X95">
            <v>0</v>
          </cell>
          <cell r="AA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I96" t="str">
            <v>Onitsha Team 1</v>
          </cell>
          <cell r="L96">
            <v>8</v>
          </cell>
          <cell r="O96">
            <v>36</v>
          </cell>
          <cell r="R96">
            <v>9</v>
          </cell>
          <cell r="U96">
            <v>100.9</v>
          </cell>
          <cell r="X96">
            <v>10</v>
          </cell>
          <cell r="AA96">
            <v>15</v>
          </cell>
          <cell r="AC96">
            <v>960048</v>
          </cell>
          <cell r="AD96">
            <v>960048</v>
          </cell>
          <cell r="AE96">
            <v>0</v>
          </cell>
        </row>
        <row r="97">
          <cell r="I97" t="str">
            <v>Onitsha Team 2</v>
          </cell>
          <cell r="L97">
            <v>8</v>
          </cell>
          <cell r="O97">
            <v>19</v>
          </cell>
          <cell r="R97">
            <v>15</v>
          </cell>
          <cell r="U97">
            <v>100</v>
          </cell>
          <cell r="X97">
            <v>20</v>
          </cell>
          <cell r="AA97">
            <v>10</v>
          </cell>
          <cell r="AC97">
            <v>888360</v>
          </cell>
          <cell r="AD97">
            <v>888360</v>
          </cell>
          <cell r="AE97">
            <v>0</v>
          </cell>
        </row>
        <row r="98">
          <cell r="I98" t="str">
            <v>Onitsha Team 3</v>
          </cell>
          <cell r="L98">
            <v>8</v>
          </cell>
          <cell r="O98">
            <v>28.1</v>
          </cell>
          <cell r="R98">
            <v>10</v>
          </cell>
          <cell r="U98">
            <v>100.9</v>
          </cell>
          <cell r="X98">
            <v>5</v>
          </cell>
          <cell r="AA98">
            <v>7</v>
          </cell>
          <cell r="AC98">
            <v>805752</v>
          </cell>
          <cell r="AD98">
            <v>805752</v>
          </cell>
          <cell r="AE98">
            <v>0</v>
          </cell>
        </row>
        <row r="99">
          <cell r="I99" t="str">
            <v>Onitsha Team 4</v>
          </cell>
          <cell r="L99">
            <v>8</v>
          </cell>
          <cell r="O99">
            <v>20</v>
          </cell>
          <cell r="R99">
            <v>15</v>
          </cell>
          <cell r="U99">
            <v>70</v>
          </cell>
          <cell r="X99">
            <v>8</v>
          </cell>
          <cell r="AA99">
            <v>8</v>
          </cell>
          <cell r="AC99">
            <v>711360</v>
          </cell>
          <cell r="AD99">
            <v>711360</v>
          </cell>
          <cell r="AE99">
            <v>0</v>
          </cell>
        </row>
        <row r="100">
          <cell r="I100" t="str">
            <v>ASABA Team 1</v>
          </cell>
          <cell r="L100">
            <v>7</v>
          </cell>
          <cell r="O100">
            <v>0</v>
          </cell>
          <cell r="R100">
            <v>29.9</v>
          </cell>
          <cell r="U100">
            <v>30.1</v>
          </cell>
          <cell r="X100">
            <v>0</v>
          </cell>
          <cell r="AA100">
            <v>0</v>
          </cell>
          <cell r="AC100">
            <v>452712</v>
          </cell>
          <cell r="AD100">
            <v>452712</v>
          </cell>
          <cell r="AE100">
            <v>0</v>
          </cell>
        </row>
        <row r="101">
          <cell r="I101" t="str">
            <v>ASABA Team 2</v>
          </cell>
          <cell r="L101">
            <v>0</v>
          </cell>
          <cell r="O101">
            <v>0</v>
          </cell>
          <cell r="R101">
            <v>0</v>
          </cell>
          <cell r="U101">
            <v>0</v>
          </cell>
          <cell r="X101">
            <v>0</v>
          </cell>
          <cell r="AA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I102" t="str">
            <v>ASABA Team 3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  <cell r="X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I103" t="str">
            <v>ASABA Team 4</v>
          </cell>
          <cell r="L103">
            <v>0</v>
          </cell>
          <cell r="O103">
            <v>0</v>
          </cell>
          <cell r="R103">
            <v>0</v>
          </cell>
          <cell r="U103">
            <v>0</v>
          </cell>
          <cell r="X103">
            <v>0</v>
          </cell>
          <cell r="AA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I104" t="str">
            <v>OWERRI Team 1</v>
          </cell>
          <cell r="L104">
            <v>8</v>
          </cell>
          <cell r="O104">
            <v>38</v>
          </cell>
          <cell r="R104">
            <v>41</v>
          </cell>
          <cell r="U104">
            <v>50</v>
          </cell>
          <cell r="X104">
            <v>10</v>
          </cell>
          <cell r="AA104">
            <v>49</v>
          </cell>
          <cell r="AC104">
            <v>1418280</v>
          </cell>
          <cell r="AD104">
            <v>1418280</v>
          </cell>
          <cell r="AE104">
            <v>0</v>
          </cell>
        </row>
        <row r="105">
          <cell r="I105" t="str">
            <v>OWERRI Team 2</v>
          </cell>
          <cell r="L105">
            <v>8</v>
          </cell>
          <cell r="O105">
            <v>18</v>
          </cell>
          <cell r="R105">
            <v>33</v>
          </cell>
          <cell r="U105">
            <v>25</v>
          </cell>
          <cell r="X105">
            <v>20</v>
          </cell>
          <cell r="AA105">
            <v>24.6</v>
          </cell>
          <cell r="AC105">
            <v>951024</v>
          </cell>
          <cell r="AD105">
            <v>951024</v>
          </cell>
          <cell r="AE105">
            <v>0</v>
          </cell>
        </row>
        <row r="106">
          <cell r="I106" t="str">
            <v>OWERRI Team 3</v>
          </cell>
          <cell r="L106">
            <v>8</v>
          </cell>
          <cell r="O106">
            <v>18</v>
          </cell>
          <cell r="R106">
            <v>33</v>
          </cell>
          <cell r="U106">
            <v>12</v>
          </cell>
          <cell r="X106">
            <v>15</v>
          </cell>
          <cell r="AA106">
            <v>43</v>
          </cell>
          <cell r="AC106">
            <v>991380</v>
          </cell>
          <cell r="AD106">
            <v>991380</v>
          </cell>
          <cell r="AE106">
            <v>0</v>
          </cell>
        </row>
        <row r="107">
          <cell r="I107" t="str">
            <v>OWERRI Team 4</v>
          </cell>
          <cell r="L107">
            <v>0</v>
          </cell>
          <cell r="O107">
            <v>0</v>
          </cell>
          <cell r="R107">
            <v>0</v>
          </cell>
          <cell r="U107">
            <v>0</v>
          </cell>
          <cell r="X107">
            <v>0</v>
          </cell>
          <cell r="AA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I108" t="str">
            <v>ABA Team 1</v>
          </cell>
          <cell r="L108">
            <v>8</v>
          </cell>
          <cell r="O108">
            <v>40</v>
          </cell>
          <cell r="R108">
            <v>42</v>
          </cell>
          <cell r="U108">
            <v>52</v>
          </cell>
          <cell r="X108">
            <v>10</v>
          </cell>
          <cell r="AA108">
            <v>19</v>
          </cell>
          <cell r="AC108">
            <v>1270200</v>
          </cell>
          <cell r="AD108">
            <v>1270200</v>
          </cell>
          <cell r="AE108">
            <v>0</v>
          </cell>
        </row>
        <row r="109">
          <cell r="I109" t="str">
            <v>ABA Team 2</v>
          </cell>
          <cell r="L109">
            <v>8</v>
          </cell>
          <cell r="O109">
            <v>20</v>
          </cell>
          <cell r="R109">
            <v>34</v>
          </cell>
          <cell r="U109">
            <v>24.9</v>
          </cell>
          <cell r="X109">
            <v>20</v>
          </cell>
          <cell r="AA109">
            <v>42.3</v>
          </cell>
          <cell r="AC109">
            <v>1094040</v>
          </cell>
          <cell r="AD109">
            <v>1094040</v>
          </cell>
          <cell r="AE109">
            <v>0</v>
          </cell>
        </row>
        <row r="110">
          <cell r="I110" t="str">
            <v>ABA Team 3</v>
          </cell>
          <cell r="L110">
            <v>7</v>
          </cell>
          <cell r="O110">
            <v>20</v>
          </cell>
          <cell r="R110">
            <v>34</v>
          </cell>
          <cell r="U110">
            <v>12</v>
          </cell>
          <cell r="X110">
            <v>17</v>
          </cell>
          <cell r="AA110">
            <v>43</v>
          </cell>
          <cell r="AC110">
            <v>1037820</v>
          </cell>
          <cell r="AD110">
            <v>1037820</v>
          </cell>
          <cell r="AE110">
            <v>0</v>
          </cell>
        </row>
        <row r="111">
          <cell r="I111" t="str">
            <v>ABA Team 4</v>
          </cell>
          <cell r="L111">
            <v>0</v>
          </cell>
          <cell r="O111">
            <v>0</v>
          </cell>
          <cell r="R111">
            <v>0</v>
          </cell>
          <cell r="U111">
            <v>0</v>
          </cell>
          <cell r="X111">
            <v>0</v>
          </cell>
          <cell r="AA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I112" t="str">
            <v>PHC 1 Team 1</v>
          </cell>
          <cell r="L112">
            <v>11</v>
          </cell>
          <cell r="O112">
            <v>31</v>
          </cell>
          <cell r="R112">
            <v>39</v>
          </cell>
          <cell r="U112">
            <v>59</v>
          </cell>
          <cell r="X112">
            <v>68</v>
          </cell>
          <cell r="AA112">
            <v>80</v>
          </cell>
          <cell r="AC112">
            <v>1935960</v>
          </cell>
          <cell r="AD112">
            <v>1935960</v>
          </cell>
          <cell r="AE112">
            <v>0</v>
          </cell>
        </row>
        <row r="113">
          <cell r="I113" t="str">
            <v>PHC 1 Team 2</v>
          </cell>
          <cell r="L113">
            <v>11</v>
          </cell>
          <cell r="O113">
            <v>20.2</v>
          </cell>
          <cell r="R113">
            <v>10</v>
          </cell>
          <cell r="U113">
            <v>50</v>
          </cell>
          <cell r="X113">
            <v>37</v>
          </cell>
          <cell r="AA113">
            <v>47</v>
          </cell>
          <cell r="AC113">
            <v>1031028</v>
          </cell>
          <cell r="AD113">
            <v>1031028</v>
          </cell>
          <cell r="AE113">
            <v>0</v>
          </cell>
        </row>
        <row r="114">
          <cell r="I114" t="str">
            <v>PHC 1 Team 3</v>
          </cell>
          <cell r="L114">
            <v>0</v>
          </cell>
          <cell r="O114">
            <v>0</v>
          </cell>
          <cell r="R114">
            <v>0</v>
          </cell>
          <cell r="U114">
            <v>0</v>
          </cell>
          <cell r="X114">
            <v>0</v>
          </cell>
          <cell r="AA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I115" t="str">
            <v>PHC 1 Team 4</v>
          </cell>
          <cell r="L115">
            <v>0</v>
          </cell>
          <cell r="O115">
            <v>0</v>
          </cell>
          <cell r="R115">
            <v>0</v>
          </cell>
          <cell r="U115">
            <v>0</v>
          </cell>
          <cell r="X115">
            <v>0</v>
          </cell>
          <cell r="AA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I116" t="str">
            <v>PHC 2 Team 1</v>
          </cell>
          <cell r="L116">
            <v>6</v>
          </cell>
          <cell r="O116">
            <v>20.100000000000001</v>
          </cell>
          <cell r="R116">
            <v>10</v>
          </cell>
          <cell r="U116">
            <v>104</v>
          </cell>
          <cell r="X116">
            <v>10</v>
          </cell>
          <cell r="AA116">
            <v>10.1</v>
          </cell>
          <cell r="AC116">
            <v>785148</v>
          </cell>
          <cell r="AD116">
            <v>785148</v>
          </cell>
          <cell r="AE116">
            <v>0</v>
          </cell>
        </row>
        <row r="117">
          <cell r="I117" t="str">
            <v>PHC 2 Team 2</v>
          </cell>
          <cell r="L117">
            <v>5</v>
          </cell>
          <cell r="O117">
            <v>20</v>
          </cell>
          <cell r="R117">
            <v>10</v>
          </cell>
          <cell r="U117">
            <v>99</v>
          </cell>
          <cell r="X117">
            <v>10</v>
          </cell>
          <cell r="AA117">
            <v>10</v>
          </cell>
          <cell r="AC117">
            <v>767880</v>
          </cell>
          <cell r="AD117">
            <v>767880</v>
          </cell>
          <cell r="AE117">
            <v>0</v>
          </cell>
        </row>
        <row r="118">
          <cell r="I118" t="str">
            <v>PHC 2 Team 3</v>
          </cell>
          <cell r="L118">
            <v>0</v>
          </cell>
          <cell r="O118">
            <v>0</v>
          </cell>
          <cell r="R118">
            <v>0</v>
          </cell>
          <cell r="U118">
            <v>0</v>
          </cell>
          <cell r="X118">
            <v>0</v>
          </cell>
          <cell r="AA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I119" t="str">
            <v>PHC 2 Team 4</v>
          </cell>
          <cell r="L119">
            <v>0</v>
          </cell>
          <cell r="O119">
            <v>0</v>
          </cell>
          <cell r="R119">
            <v>0</v>
          </cell>
          <cell r="U119">
            <v>0</v>
          </cell>
          <cell r="X119">
            <v>0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I120" t="str">
            <v>BAYELSA Team 1</v>
          </cell>
          <cell r="L120">
            <v>8</v>
          </cell>
          <cell r="O120">
            <v>49.5</v>
          </cell>
          <cell r="R120">
            <v>40</v>
          </cell>
          <cell r="U120">
            <v>49</v>
          </cell>
          <cell r="X120">
            <v>40</v>
          </cell>
          <cell r="AA120">
            <v>39</v>
          </cell>
          <cell r="AC120">
            <v>1664220</v>
          </cell>
          <cell r="AD120">
            <v>1664220</v>
          </cell>
          <cell r="AE120">
            <v>0</v>
          </cell>
        </row>
        <row r="121">
          <cell r="I121" t="str">
            <v>BAYELSA Team 2</v>
          </cell>
          <cell r="L121">
            <v>4</v>
          </cell>
          <cell r="O121">
            <v>33</v>
          </cell>
          <cell r="R121">
            <v>60</v>
          </cell>
          <cell r="U121">
            <v>16.899999999999999</v>
          </cell>
          <cell r="X121">
            <v>39</v>
          </cell>
          <cell r="AA121">
            <v>25</v>
          </cell>
          <cell r="AC121">
            <v>1537668</v>
          </cell>
          <cell r="AD121">
            <v>1537668</v>
          </cell>
          <cell r="AE121">
            <v>0</v>
          </cell>
        </row>
        <row r="122">
          <cell r="I122" t="str">
            <v>BAYELSA Team 3</v>
          </cell>
          <cell r="L122">
            <v>0</v>
          </cell>
          <cell r="O122">
            <v>0</v>
          </cell>
          <cell r="R122">
            <v>0</v>
          </cell>
          <cell r="U122">
            <v>0</v>
          </cell>
          <cell r="X122">
            <v>0</v>
          </cell>
          <cell r="AA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I123" t="str">
            <v>BAYELSA Team 4</v>
          </cell>
          <cell r="L123">
            <v>0</v>
          </cell>
          <cell r="O123">
            <v>0</v>
          </cell>
          <cell r="R123">
            <v>0</v>
          </cell>
          <cell r="U123">
            <v>0</v>
          </cell>
          <cell r="X123">
            <v>0</v>
          </cell>
          <cell r="AA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I124" t="str">
            <v>UYO Team 1</v>
          </cell>
          <cell r="L124">
            <v>4</v>
          </cell>
          <cell r="O124">
            <v>13</v>
          </cell>
          <cell r="R124">
            <v>9</v>
          </cell>
          <cell r="U124">
            <v>0</v>
          </cell>
          <cell r="X124">
            <v>18.100000000000001</v>
          </cell>
          <cell r="AA124">
            <v>15</v>
          </cell>
          <cell r="AC124">
            <v>460038</v>
          </cell>
          <cell r="AD124">
            <v>460038</v>
          </cell>
          <cell r="AE124">
            <v>0</v>
          </cell>
        </row>
        <row r="125">
          <cell r="I125" t="str">
            <v>UYO Team 2</v>
          </cell>
          <cell r="L125">
            <v>4</v>
          </cell>
          <cell r="O125">
            <v>3</v>
          </cell>
          <cell r="R125">
            <v>5</v>
          </cell>
          <cell r="U125">
            <v>0</v>
          </cell>
          <cell r="X125">
            <v>5</v>
          </cell>
          <cell r="AA125">
            <v>12</v>
          </cell>
          <cell r="AC125">
            <v>200100</v>
          </cell>
          <cell r="AD125">
            <v>200100</v>
          </cell>
          <cell r="AE125">
            <v>0</v>
          </cell>
        </row>
        <row r="126">
          <cell r="I126" t="str">
            <v>UYO Team 3</v>
          </cell>
          <cell r="L126">
            <v>0</v>
          </cell>
          <cell r="O126">
            <v>0</v>
          </cell>
          <cell r="R126">
            <v>0</v>
          </cell>
          <cell r="U126">
            <v>0</v>
          </cell>
          <cell r="X126">
            <v>0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I127" t="str">
            <v>UYO Team 4</v>
          </cell>
          <cell r="L127">
            <v>0</v>
          </cell>
          <cell r="O127">
            <v>0</v>
          </cell>
          <cell r="R127">
            <v>0</v>
          </cell>
          <cell r="U127">
            <v>0</v>
          </cell>
          <cell r="X127">
            <v>0</v>
          </cell>
          <cell r="AA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I128" t="str">
            <v>CALABAR Team 1</v>
          </cell>
          <cell r="L128">
            <v>5</v>
          </cell>
          <cell r="O128">
            <v>2</v>
          </cell>
          <cell r="R128">
            <v>37</v>
          </cell>
          <cell r="U128">
            <v>0</v>
          </cell>
          <cell r="X128">
            <v>14</v>
          </cell>
          <cell r="AA128">
            <v>0</v>
          </cell>
          <cell r="AC128">
            <v>559800</v>
          </cell>
          <cell r="AD128">
            <v>559800</v>
          </cell>
          <cell r="AE128">
            <v>0</v>
          </cell>
        </row>
        <row r="129">
          <cell r="I129" t="str">
            <v>CALABAR Team 2</v>
          </cell>
          <cell r="L129">
            <v>8</v>
          </cell>
          <cell r="O129">
            <v>7</v>
          </cell>
          <cell r="R129">
            <v>40</v>
          </cell>
          <cell r="U129">
            <v>0</v>
          </cell>
          <cell r="X129">
            <v>20</v>
          </cell>
          <cell r="AA129">
            <v>0</v>
          </cell>
          <cell r="AC129">
            <v>688680</v>
          </cell>
          <cell r="AD129">
            <v>688680</v>
          </cell>
          <cell r="AE129">
            <v>0</v>
          </cell>
        </row>
        <row r="130">
          <cell r="I130" t="str">
            <v>CALABAR Team 3</v>
          </cell>
          <cell r="L130">
            <v>8</v>
          </cell>
          <cell r="O130">
            <v>7</v>
          </cell>
          <cell r="R130">
            <v>60</v>
          </cell>
          <cell r="U130">
            <v>0</v>
          </cell>
          <cell r="X130">
            <v>0</v>
          </cell>
          <cell r="AA130">
            <v>0</v>
          </cell>
          <cell r="AC130">
            <v>793080</v>
          </cell>
          <cell r="AD130">
            <v>793080</v>
          </cell>
          <cell r="AE130">
            <v>0</v>
          </cell>
        </row>
        <row r="131">
          <cell r="I131" t="str">
            <v>CALABAR Team 4</v>
          </cell>
          <cell r="L131">
            <v>0</v>
          </cell>
          <cell r="O131">
            <v>0</v>
          </cell>
          <cell r="R131">
            <v>0</v>
          </cell>
          <cell r="U131">
            <v>0</v>
          </cell>
          <cell r="X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I132" t="str">
            <v>IBADAN I Team 1</v>
          </cell>
          <cell r="L132">
            <v>4</v>
          </cell>
          <cell r="O132">
            <v>50</v>
          </cell>
          <cell r="R132">
            <v>35</v>
          </cell>
          <cell r="X132">
            <v>57</v>
          </cell>
          <cell r="AA132">
            <v>58.5</v>
          </cell>
          <cell r="AC132">
            <v>1693500</v>
          </cell>
          <cell r="AD132">
            <v>1693500</v>
          </cell>
          <cell r="AE132">
            <v>0</v>
          </cell>
        </row>
        <row r="133">
          <cell r="I133" t="str">
            <v>IBADAN I Team 2</v>
          </cell>
          <cell r="L133">
            <v>4</v>
          </cell>
          <cell r="O133">
            <v>0</v>
          </cell>
          <cell r="R133">
            <v>0</v>
          </cell>
          <cell r="X133">
            <v>0</v>
          </cell>
          <cell r="AA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I134" t="str">
            <v>IBADAN I Team 3</v>
          </cell>
          <cell r="L134">
            <v>4</v>
          </cell>
          <cell r="O134">
            <v>0</v>
          </cell>
          <cell r="R134">
            <v>0</v>
          </cell>
          <cell r="X134">
            <v>0</v>
          </cell>
          <cell r="AA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I135" t="str">
            <v>IBADAN I Team 4</v>
          </cell>
          <cell r="L135">
            <v>4</v>
          </cell>
          <cell r="O135">
            <v>0</v>
          </cell>
          <cell r="R135">
            <v>0</v>
          </cell>
          <cell r="X135">
            <v>0</v>
          </cell>
          <cell r="AA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I136" t="str">
            <v>IBADAN II Team 1</v>
          </cell>
          <cell r="L136">
            <v>4</v>
          </cell>
          <cell r="O136">
            <v>21</v>
          </cell>
          <cell r="R136">
            <v>50</v>
          </cell>
          <cell r="X136">
            <v>50</v>
          </cell>
          <cell r="AA136">
            <v>45.463999999999999</v>
          </cell>
          <cell r="AC136">
            <v>1441935.3600000001</v>
          </cell>
          <cell r="AD136">
            <v>1441935.3600000001</v>
          </cell>
          <cell r="AE136">
            <v>0</v>
          </cell>
        </row>
        <row r="137">
          <cell r="I137" t="str">
            <v>IBADAN II Team 2</v>
          </cell>
          <cell r="L137">
            <v>4</v>
          </cell>
          <cell r="O137">
            <v>0</v>
          </cell>
          <cell r="R137">
            <v>0</v>
          </cell>
          <cell r="X137">
            <v>0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I138" t="str">
            <v>IBADAN II Team 3</v>
          </cell>
          <cell r="L138">
            <v>4</v>
          </cell>
          <cell r="O138">
            <v>0</v>
          </cell>
          <cell r="R138">
            <v>0</v>
          </cell>
          <cell r="X138">
            <v>0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I139" t="str">
            <v>IBADAN II Team 4</v>
          </cell>
          <cell r="L139">
            <v>4</v>
          </cell>
          <cell r="O139">
            <v>0</v>
          </cell>
          <cell r="R139">
            <v>0</v>
          </cell>
          <cell r="X139">
            <v>0</v>
          </cell>
          <cell r="AA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I140" t="str">
            <v>OSHOGBO Team 1</v>
          </cell>
          <cell r="L140">
            <v>5</v>
          </cell>
          <cell r="O140">
            <v>0</v>
          </cell>
          <cell r="R140">
            <v>0</v>
          </cell>
          <cell r="X140">
            <v>0</v>
          </cell>
          <cell r="AA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I141" t="str">
            <v>OSHOGBO Team 2</v>
          </cell>
          <cell r="L141">
            <v>6</v>
          </cell>
          <cell r="O141">
            <v>6.2960000000000003</v>
          </cell>
          <cell r="R141">
            <v>7.375</v>
          </cell>
          <cell r="X141">
            <v>10.75</v>
          </cell>
          <cell r="AA141">
            <v>12</v>
          </cell>
          <cell r="AC141">
            <v>301995.24</v>
          </cell>
          <cell r="AD141">
            <v>301995.24</v>
          </cell>
          <cell r="AE141">
            <v>0</v>
          </cell>
        </row>
        <row r="142">
          <cell r="I142" t="str">
            <v>OSHOGBO Team 3</v>
          </cell>
          <cell r="L142">
            <v>0</v>
          </cell>
          <cell r="O142">
            <v>0</v>
          </cell>
          <cell r="R142">
            <v>0</v>
          </cell>
          <cell r="X142">
            <v>0</v>
          </cell>
          <cell r="AA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I143" t="str">
            <v>OSHOGBO Team 4</v>
          </cell>
          <cell r="L143">
            <v>0</v>
          </cell>
          <cell r="O143">
            <v>0</v>
          </cell>
          <cell r="R143">
            <v>0</v>
          </cell>
          <cell r="X143">
            <v>0</v>
          </cell>
          <cell r="AA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I144" t="str">
            <v>ILORIN  Team 1</v>
          </cell>
          <cell r="L144">
            <v>7</v>
          </cell>
          <cell r="O144">
            <v>10</v>
          </cell>
          <cell r="R144">
            <v>10</v>
          </cell>
          <cell r="X144">
            <v>10.206</v>
          </cell>
          <cell r="AA144">
            <v>10</v>
          </cell>
          <cell r="AC144">
            <v>355996.68</v>
          </cell>
          <cell r="AD144">
            <v>355996.68</v>
          </cell>
          <cell r="AE144">
            <v>0</v>
          </cell>
        </row>
        <row r="145">
          <cell r="I145" t="str">
            <v>ILORIN  Team 2</v>
          </cell>
          <cell r="L145">
            <v>7</v>
          </cell>
          <cell r="O145">
            <v>0</v>
          </cell>
          <cell r="R145">
            <v>0</v>
          </cell>
          <cell r="X145">
            <v>0</v>
          </cell>
          <cell r="AA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I146" t="str">
            <v>ILORIN  Team 3</v>
          </cell>
          <cell r="L146">
            <v>0</v>
          </cell>
          <cell r="O146">
            <v>0</v>
          </cell>
          <cell r="R146">
            <v>0</v>
          </cell>
          <cell r="X146">
            <v>0</v>
          </cell>
          <cell r="AA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I147" t="str">
            <v>ILORIN  Team 4</v>
          </cell>
          <cell r="L147">
            <v>0</v>
          </cell>
          <cell r="O147">
            <v>0</v>
          </cell>
          <cell r="R147">
            <v>0</v>
          </cell>
          <cell r="X147">
            <v>0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I148" t="str">
            <v>BENIN 1 Team 1</v>
          </cell>
          <cell r="L148">
            <v>6</v>
          </cell>
          <cell r="O148">
            <v>50</v>
          </cell>
          <cell r="R148">
            <v>38.61</v>
          </cell>
          <cell r="X148">
            <v>20</v>
          </cell>
          <cell r="AA148">
            <v>41</v>
          </cell>
          <cell r="AC148">
            <v>1376760</v>
          </cell>
          <cell r="AD148">
            <v>1376760</v>
          </cell>
          <cell r="AE148">
            <v>0</v>
          </cell>
        </row>
        <row r="149">
          <cell r="I149" t="str">
            <v>BENIN 1 Team 2</v>
          </cell>
          <cell r="L149">
            <v>6</v>
          </cell>
          <cell r="O149">
            <v>0</v>
          </cell>
          <cell r="R149">
            <v>0</v>
          </cell>
          <cell r="X149">
            <v>0</v>
          </cell>
          <cell r="AA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I150" t="str">
            <v>BENIN 1 Team 3</v>
          </cell>
          <cell r="L150">
            <v>2</v>
          </cell>
          <cell r="O150">
            <v>0</v>
          </cell>
          <cell r="R150">
            <v>0</v>
          </cell>
          <cell r="X150">
            <v>0</v>
          </cell>
          <cell r="AA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I151" t="str">
            <v>BENIN 1 Team 4</v>
          </cell>
          <cell r="L151">
            <v>0</v>
          </cell>
          <cell r="O151">
            <v>0</v>
          </cell>
          <cell r="R151">
            <v>0</v>
          </cell>
          <cell r="X151">
            <v>0</v>
          </cell>
          <cell r="AA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I152" t="str">
            <v>BENIN II Team 1</v>
          </cell>
          <cell r="L152">
            <v>7</v>
          </cell>
          <cell r="O152">
            <v>125</v>
          </cell>
          <cell r="R152">
            <v>73</v>
          </cell>
          <cell r="X152">
            <v>0</v>
          </cell>
          <cell r="AA152">
            <v>69.676000000000002</v>
          </cell>
          <cell r="AC152">
            <v>2615778.2400000002</v>
          </cell>
          <cell r="AD152">
            <v>2615778.2400000002</v>
          </cell>
          <cell r="AE152">
            <v>0</v>
          </cell>
        </row>
        <row r="153">
          <cell r="I153" t="str">
            <v>BENIN II Team 2</v>
          </cell>
          <cell r="L153">
            <v>7</v>
          </cell>
          <cell r="O153">
            <v>0</v>
          </cell>
          <cell r="R153">
            <v>0</v>
          </cell>
          <cell r="X153">
            <v>0</v>
          </cell>
          <cell r="AA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I154" t="str">
            <v>BENIN II Team 3</v>
          </cell>
          <cell r="L154">
            <v>0</v>
          </cell>
          <cell r="O154">
            <v>0</v>
          </cell>
          <cell r="R154">
            <v>0</v>
          </cell>
          <cell r="X154">
            <v>0</v>
          </cell>
          <cell r="AA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I155" t="str">
            <v>BENIN II Team 4</v>
          </cell>
          <cell r="L155">
            <v>0</v>
          </cell>
          <cell r="O155">
            <v>0</v>
          </cell>
          <cell r="R155">
            <v>0</v>
          </cell>
          <cell r="X155">
            <v>0</v>
          </cell>
          <cell r="AA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I156" t="str">
            <v>AKURE 1(Ado-Ekiti/Ondo) Team 1</v>
          </cell>
          <cell r="L156">
            <v>0</v>
          </cell>
          <cell r="O156">
            <v>0</v>
          </cell>
          <cell r="R156">
            <v>0</v>
          </cell>
          <cell r="X156">
            <v>0</v>
          </cell>
          <cell r="AA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I157" t="str">
            <v>AKURE 1(Ado-Ekiti/Ondo) Team 2</v>
          </cell>
          <cell r="L157">
            <v>5</v>
          </cell>
          <cell r="O157">
            <v>7</v>
          </cell>
          <cell r="R157">
            <v>4</v>
          </cell>
          <cell r="X157">
            <v>5</v>
          </cell>
          <cell r="AA157">
            <v>5.6120000000000001</v>
          </cell>
          <cell r="AC157">
            <v>189998.88</v>
          </cell>
          <cell r="AD157">
            <v>189998.88</v>
          </cell>
          <cell r="AE157">
            <v>0</v>
          </cell>
        </row>
        <row r="158">
          <cell r="I158" t="str">
            <v>AKURE 1(Ado-Ekiti/Ondo) Team 3</v>
          </cell>
          <cell r="L158">
            <v>0</v>
          </cell>
          <cell r="O158">
            <v>0</v>
          </cell>
          <cell r="R158">
            <v>0</v>
          </cell>
          <cell r="X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I159" t="str">
            <v>AKURE 1(Ado-Ekiti/Ondo) Team 4</v>
          </cell>
          <cell r="L159">
            <v>0</v>
          </cell>
          <cell r="O159">
            <v>0</v>
          </cell>
          <cell r="R159">
            <v>0</v>
          </cell>
          <cell r="X159">
            <v>0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I160" t="str">
            <v>AKURE II Team 1</v>
          </cell>
          <cell r="L160">
            <v>7</v>
          </cell>
          <cell r="O160">
            <v>0</v>
          </cell>
          <cell r="R160">
            <v>0</v>
          </cell>
          <cell r="X160">
            <v>0</v>
          </cell>
          <cell r="AA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I161" t="str">
            <v>AKURE II Team 2</v>
          </cell>
          <cell r="L161">
            <v>0</v>
          </cell>
          <cell r="O161">
            <v>27.652999999999999</v>
          </cell>
          <cell r="R161">
            <v>20</v>
          </cell>
          <cell r="X161">
            <v>15</v>
          </cell>
          <cell r="AA161">
            <v>15</v>
          </cell>
          <cell r="AC161">
            <v>723997.32</v>
          </cell>
          <cell r="AD161">
            <v>723997.32</v>
          </cell>
          <cell r="AE161">
            <v>0</v>
          </cell>
        </row>
        <row r="162">
          <cell r="I162" t="str">
            <v>AKURE II Team 3</v>
          </cell>
          <cell r="L162">
            <v>0</v>
          </cell>
          <cell r="O162">
            <v>0</v>
          </cell>
          <cell r="R162">
            <v>0</v>
          </cell>
          <cell r="X162">
            <v>0</v>
          </cell>
          <cell r="AA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I163" t="str">
            <v>AKURE II Team 4</v>
          </cell>
          <cell r="L163">
            <v>0</v>
          </cell>
          <cell r="O163">
            <v>0</v>
          </cell>
          <cell r="R163">
            <v>0</v>
          </cell>
          <cell r="X163">
            <v>0</v>
          </cell>
          <cell r="AA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I164" t="str">
            <v>WARRI Team 1</v>
          </cell>
          <cell r="L164">
            <v>7</v>
          </cell>
          <cell r="O164">
            <v>30</v>
          </cell>
          <cell r="R164">
            <v>10</v>
          </cell>
          <cell r="X164">
            <v>20</v>
          </cell>
          <cell r="AA164">
            <v>15</v>
          </cell>
          <cell r="AC164">
            <v>662400</v>
          </cell>
          <cell r="AD164">
            <v>662400</v>
          </cell>
          <cell r="AE164">
            <v>0</v>
          </cell>
        </row>
        <row r="165">
          <cell r="I165" t="str">
            <v>WARRI Team 2</v>
          </cell>
          <cell r="L165">
            <v>0</v>
          </cell>
          <cell r="O165">
            <v>0</v>
          </cell>
          <cell r="R165">
            <v>0</v>
          </cell>
          <cell r="X165">
            <v>0</v>
          </cell>
          <cell r="AA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I166" t="str">
            <v>WARRI Team 3</v>
          </cell>
          <cell r="L166">
            <v>0</v>
          </cell>
          <cell r="O166">
            <v>0</v>
          </cell>
          <cell r="R166">
            <v>0</v>
          </cell>
          <cell r="X166">
            <v>0</v>
          </cell>
          <cell r="AA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I167" t="str">
            <v>WARRI Team 4</v>
          </cell>
          <cell r="L167">
            <v>0</v>
          </cell>
          <cell r="O167">
            <v>0</v>
          </cell>
          <cell r="R167">
            <v>0</v>
          </cell>
          <cell r="X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I168" t="str">
            <v>Enugu Team 1</v>
          </cell>
          <cell r="L168">
            <v>7</v>
          </cell>
          <cell r="O168">
            <v>11</v>
          </cell>
          <cell r="R168">
            <v>10</v>
          </cell>
          <cell r="U168">
            <v>20</v>
          </cell>
          <cell r="X168">
            <v>20</v>
          </cell>
          <cell r="AA168">
            <v>30</v>
          </cell>
          <cell r="AC168">
            <v>620040</v>
          </cell>
          <cell r="AD168">
            <v>620040</v>
          </cell>
          <cell r="AE168">
            <v>0</v>
          </cell>
        </row>
        <row r="169">
          <cell r="I169" t="str">
            <v>Enugu Team 2</v>
          </cell>
          <cell r="L169">
            <v>4</v>
          </cell>
          <cell r="O169">
            <v>5.0999999999999996</v>
          </cell>
          <cell r="R169">
            <v>5</v>
          </cell>
          <cell r="U169">
            <v>5</v>
          </cell>
          <cell r="X169">
            <v>5</v>
          </cell>
          <cell r="AA169">
            <v>6</v>
          </cell>
          <cell r="AC169">
            <v>200184</v>
          </cell>
          <cell r="AD169">
            <v>200184</v>
          </cell>
          <cell r="AE169">
            <v>0</v>
          </cell>
        </row>
        <row r="170">
          <cell r="I170" t="str">
            <v>Enugu Team 3</v>
          </cell>
          <cell r="L170">
            <v>4</v>
          </cell>
          <cell r="O170">
            <v>5.0999999999999996</v>
          </cell>
          <cell r="R170">
            <v>5</v>
          </cell>
          <cell r="U170">
            <v>5</v>
          </cell>
          <cell r="X170">
            <v>5</v>
          </cell>
          <cell r="AA170">
            <v>6</v>
          </cell>
          <cell r="AC170">
            <v>200184</v>
          </cell>
          <cell r="AD170">
            <v>200184</v>
          </cell>
          <cell r="AE170">
            <v>0</v>
          </cell>
        </row>
        <row r="171">
          <cell r="I171" t="str">
            <v>Enugu Team 4</v>
          </cell>
          <cell r="L171">
            <v>0</v>
          </cell>
          <cell r="O171">
            <v>0</v>
          </cell>
          <cell r="R171">
            <v>0</v>
          </cell>
          <cell r="U171">
            <v>0</v>
          </cell>
          <cell r="X171">
            <v>0</v>
          </cell>
          <cell r="AA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I172" t="str">
            <v>Abakaliki Team 1</v>
          </cell>
          <cell r="L172">
            <v>5</v>
          </cell>
          <cell r="O172">
            <v>20</v>
          </cell>
          <cell r="R172">
            <v>11</v>
          </cell>
          <cell r="U172">
            <v>0</v>
          </cell>
          <cell r="X172">
            <v>15</v>
          </cell>
          <cell r="AA172">
            <v>15.6</v>
          </cell>
          <cell r="AC172">
            <v>539844</v>
          </cell>
          <cell r="AD172">
            <v>539844</v>
          </cell>
          <cell r="AE172">
            <v>0</v>
          </cell>
        </row>
        <row r="173">
          <cell r="I173" t="str">
            <v>Abakaliki Team 2</v>
          </cell>
          <cell r="L173">
            <v>5</v>
          </cell>
          <cell r="O173">
            <v>15</v>
          </cell>
          <cell r="R173">
            <v>10</v>
          </cell>
          <cell r="U173">
            <v>0</v>
          </cell>
          <cell r="X173">
            <v>10</v>
          </cell>
          <cell r="AA173">
            <v>11.5</v>
          </cell>
          <cell r="AC173">
            <v>416160</v>
          </cell>
          <cell r="AD173">
            <v>416160</v>
          </cell>
          <cell r="AE173">
            <v>0</v>
          </cell>
        </row>
        <row r="174">
          <cell r="I174" t="str">
            <v>Abakaliki Team 3</v>
          </cell>
          <cell r="L174">
            <v>0</v>
          </cell>
          <cell r="O174">
            <v>0</v>
          </cell>
          <cell r="R174">
            <v>0</v>
          </cell>
          <cell r="U174">
            <v>0</v>
          </cell>
          <cell r="X174">
            <v>0</v>
          </cell>
          <cell r="AA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I175" t="str">
            <v>Abakaliki Team 4</v>
          </cell>
          <cell r="L175">
            <v>0</v>
          </cell>
          <cell r="O175">
            <v>0</v>
          </cell>
          <cell r="R175">
            <v>0</v>
          </cell>
          <cell r="U175">
            <v>0</v>
          </cell>
          <cell r="X175">
            <v>0</v>
          </cell>
          <cell r="AA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I176" t="str">
            <v>Onitsha Team 1</v>
          </cell>
          <cell r="L176">
            <v>8</v>
          </cell>
          <cell r="O176">
            <v>38</v>
          </cell>
          <cell r="R176">
            <v>10.1</v>
          </cell>
          <cell r="U176">
            <v>101</v>
          </cell>
          <cell r="X176">
            <v>10</v>
          </cell>
          <cell r="AA176">
            <v>15</v>
          </cell>
          <cell r="AC176">
            <v>994440</v>
          </cell>
          <cell r="AD176">
            <v>994440</v>
          </cell>
          <cell r="AE176">
            <v>0</v>
          </cell>
        </row>
        <row r="177">
          <cell r="I177" t="str">
            <v>Onitsha Team 2</v>
          </cell>
          <cell r="L177">
            <v>8</v>
          </cell>
          <cell r="O177">
            <v>19</v>
          </cell>
          <cell r="R177">
            <v>15</v>
          </cell>
          <cell r="U177">
            <v>100</v>
          </cell>
          <cell r="X177">
            <v>20</v>
          </cell>
          <cell r="AA177">
            <v>10</v>
          </cell>
          <cell r="AC177">
            <v>888360</v>
          </cell>
          <cell r="AD177">
            <v>888360</v>
          </cell>
          <cell r="AE177">
            <v>0</v>
          </cell>
        </row>
        <row r="178">
          <cell r="I178" t="str">
            <v>Onitsha Team 3</v>
          </cell>
          <cell r="L178">
            <v>8</v>
          </cell>
          <cell r="O178">
            <v>32.5</v>
          </cell>
          <cell r="R178">
            <v>15</v>
          </cell>
          <cell r="U178">
            <v>100</v>
          </cell>
          <cell r="X178">
            <v>5</v>
          </cell>
          <cell r="AA178">
            <v>7</v>
          </cell>
          <cell r="AC178">
            <v>908880</v>
          </cell>
          <cell r="AD178">
            <v>908880</v>
          </cell>
          <cell r="AE178">
            <v>0</v>
          </cell>
        </row>
        <row r="179">
          <cell r="I179" t="str">
            <v>Onitsha Team 4</v>
          </cell>
          <cell r="L179">
            <v>8</v>
          </cell>
          <cell r="O179">
            <v>20</v>
          </cell>
          <cell r="R179">
            <v>15</v>
          </cell>
          <cell r="U179">
            <v>70</v>
          </cell>
          <cell r="X179">
            <v>8</v>
          </cell>
          <cell r="AA179">
            <v>8</v>
          </cell>
          <cell r="AC179">
            <v>711360</v>
          </cell>
          <cell r="AD179">
            <v>711360</v>
          </cell>
          <cell r="AE179">
            <v>0</v>
          </cell>
        </row>
        <row r="180">
          <cell r="I180" t="str">
            <v>ASABA Team 1</v>
          </cell>
          <cell r="L180">
            <v>7</v>
          </cell>
          <cell r="O180">
            <v>2</v>
          </cell>
          <cell r="R180">
            <v>10</v>
          </cell>
          <cell r="U180">
            <v>5</v>
          </cell>
          <cell r="X180">
            <v>0</v>
          </cell>
          <cell r="AA180">
            <v>0</v>
          </cell>
          <cell r="AC180">
            <v>156480</v>
          </cell>
          <cell r="AD180">
            <v>156480</v>
          </cell>
          <cell r="AE180">
            <v>0</v>
          </cell>
        </row>
        <row r="181">
          <cell r="I181" t="str">
            <v>ASABA Team 2</v>
          </cell>
          <cell r="L181">
            <v>0</v>
          </cell>
          <cell r="O181">
            <v>0</v>
          </cell>
          <cell r="R181">
            <v>0</v>
          </cell>
          <cell r="U181">
            <v>0</v>
          </cell>
          <cell r="X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I182" t="str">
            <v>ASABA Team 3</v>
          </cell>
          <cell r="L182">
            <v>0</v>
          </cell>
          <cell r="O182">
            <v>0</v>
          </cell>
          <cell r="R182">
            <v>0</v>
          </cell>
          <cell r="U182">
            <v>0</v>
          </cell>
          <cell r="X182">
            <v>0</v>
          </cell>
          <cell r="AA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I183" t="str">
            <v>ASABA Team 4</v>
          </cell>
          <cell r="L183">
            <v>0</v>
          </cell>
          <cell r="O183">
            <v>0</v>
          </cell>
          <cell r="R183">
            <v>0</v>
          </cell>
          <cell r="U183">
            <v>0</v>
          </cell>
          <cell r="X183">
            <v>0</v>
          </cell>
          <cell r="AA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I184" t="str">
            <v>OWERRI Team 1</v>
          </cell>
          <cell r="L184">
            <v>8</v>
          </cell>
          <cell r="O184">
            <v>29.9</v>
          </cell>
          <cell r="R184">
            <v>30</v>
          </cell>
          <cell r="U184">
            <v>29.9</v>
          </cell>
          <cell r="X184">
            <v>20</v>
          </cell>
          <cell r="AA184">
            <v>35</v>
          </cell>
          <cell r="AC184">
            <v>1119444</v>
          </cell>
          <cell r="AD184">
            <v>1119444</v>
          </cell>
          <cell r="AE184">
            <v>0</v>
          </cell>
        </row>
        <row r="185">
          <cell r="I185" t="str">
            <v>OWERRI Team 2</v>
          </cell>
          <cell r="L185">
            <v>8</v>
          </cell>
          <cell r="O185">
            <v>40</v>
          </cell>
          <cell r="R185">
            <v>40</v>
          </cell>
          <cell r="U185">
            <v>34.799999999999997</v>
          </cell>
          <cell r="X185">
            <v>20</v>
          </cell>
          <cell r="AA185">
            <v>40</v>
          </cell>
          <cell r="AC185">
            <v>1391376</v>
          </cell>
          <cell r="AD185">
            <v>1391376</v>
          </cell>
          <cell r="AE185">
            <v>0</v>
          </cell>
        </row>
        <row r="186">
          <cell r="I186" t="str">
            <v>OWERRI Team 3</v>
          </cell>
          <cell r="L186">
            <v>8</v>
          </cell>
          <cell r="O186">
            <v>23.8</v>
          </cell>
          <cell r="R186">
            <v>37</v>
          </cell>
          <cell r="U186">
            <v>28.9</v>
          </cell>
          <cell r="X186">
            <v>20</v>
          </cell>
          <cell r="AA186">
            <v>34</v>
          </cell>
          <cell r="AC186">
            <v>1130400</v>
          </cell>
          <cell r="AD186">
            <v>1130400</v>
          </cell>
          <cell r="AE186">
            <v>0</v>
          </cell>
        </row>
        <row r="187">
          <cell r="I187" t="str">
            <v>OWERRI Team 4</v>
          </cell>
          <cell r="L187">
            <v>0</v>
          </cell>
          <cell r="O187">
            <v>0</v>
          </cell>
          <cell r="R187">
            <v>0</v>
          </cell>
          <cell r="U187">
            <v>0</v>
          </cell>
          <cell r="X187">
            <v>0</v>
          </cell>
          <cell r="AA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I188" t="str">
            <v>ABA Team 1</v>
          </cell>
          <cell r="L188">
            <v>8</v>
          </cell>
          <cell r="O188">
            <v>25</v>
          </cell>
          <cell r="R188">
            <v>25</v>
          </cell>
          <cell r="U188">
            <v>27.1</v>
          </cell>
          <cell r="X188">
            <v>19</v>
          </cell>
          <cell r="AA188">
            <v>22.4</v>
          </cell>
          <cell r="AC188">
            <v>914148</v>
          </cell>
          <cell r="AD188">
            <v>914148</v>
          </cell>
          <cell r="AE188">
            <v>0</v>
          </cell>
        </row>
        <row r="189">
          <cell r="I189" t="str">
            <v>ABA Team 2</v>
          </cell>
          <cell r="L189">
            <v>8</v>
          </cell>
          <cell r="O189">
            <v>26.9</v>
          </cell>
          <cell r="R189">
            <v>31</v>
          </cell>
          <cell r="U189">
            <v>20</v>
          </cell>
          <cell r="X189">
            <v>10</v>
          </cell>
          <cell r="AA189">
            <v>12</v>
          </cell>
          <cell r="AC189">
            <v>857916</v>
          </cell>
          <cell r="AD189">
            <v>857916</v>
          </cell>
          <cell r="AE189">
            <v>0</v>
          </cell>
        </row>
        <row r="190">
          <cell r="I190" t="str">
            <v>ABA Team 3</v>
          </cell>
          <cell r="L190">
            <v>0</v>
          </cell>
          <cell r="O190">
            <v>28</v>
          </cell>
          <cell r="R190">
            <v>25.1</v>
          </cell>
          <cell r="U190">
            <v>20.100000000000001</v>
          </cell>
          <cell r="X190">
            <v>11</v>
          </cell>
          <cell r="AA190">
            <v>14</v>
          </cell>
          <cell r="AC190">
            <v>818172</v>
          </cell>
          <cell r="AD190">
            <v>818172</v>
          </cell>
          <cell r="AE190">
            <v>0</v>
          </cell>
        </row>
        <row r="191">
          <cell r="I191" t="str">
            <v>ABA Team 4</v>
          </cell>
          <cell r="L191">
            <v>0</v>
          </cell>
          <cell r="O191">
            <v>20</v>
          </cell>
          <cell r="R191">
            <v>30</v>
          </cell>
          <cell r="U191">
            <v>21</v>
          </cell>
          <cell r="X191">
            <v>11.2</v>
          </cell>
          <cell r="AA191">
            <v>15</v>
          </cell>
          <cell r="AC191">
            <v>803856</v>
          </cell>
          <cell r="AD191">
            <v>803856</v>
          </cell>
          <cell r="AE191">
            <v>0</v>
          </cell>
        </row>
        <row r="192">
          <cell r="I192" t="str">
            <v>PHC 1 Team 1</v>
          </cell>
          <cell r="L192">
            <v>11</v>
          </cell>
          <cell r="O192">
            <v>44.5</v>
          </cell>
          <cell r="R192">
            <v>50</v>
          </cell>
          <cell r="U192">
            <v>50</v>
          </cell>
          <cell r="X192">
            <v>0</v>
          </cell>
          <cell r="AA192">
            <v>44.9</v>
          </cell>
          <cell r="AC192">
            <v>1500756</v>
          </cell>
          <cell r="AD192">
            <v>1500756</v>
          </cell>
          <cell r="AE192">
            <v>0</v>
          </cell>
        </row>
        <row r="193">
          <cell r="I193" t="str">
            <v>PHC 1 Team 2</v>
          </cell>
          <cell r="L193">
            <v>11</v>
          </cell>
          <cell r="O193">
            <v>48</v>
          </cell>
          <cell r="R193">
            <v>45</v>
          </cell>
          <cell r="U193">
            <v>84</v>
          </cell>
          <cell r="X193">
            <v>0</v>
          </cell>
          <cell r="AA193">
            <v>70</v>
          </cell>
          <cell r="AC193">
            <v>1740000</v>
          </cell>
          <cell r="AD193">
            <v>1740000</v>
          </cell>
          <cell r="AE193">
            <v>0</v>
          </cell>
        </row>
        <row r="194">
          <cell r="I194" t="str">
            <v>PHC 1 Team 3</v>
          </cell>
          <cell r="L194">
            <v>0</v>
          </cell>
          <cell r="O194">
            <v>0</v>
          </cell>
          <cell r="R194">
            <v>0</v>
          </cell>
          <cell r="U194">
            <v>0</v>
          </cell>
          <cell r="X194">
            <v>0</v>
          </cell>
          <cell r="AA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I195" t="str">
            <v>PHC 1 Team 4</v>
          </cell>
          <cell r="L195">
            <v>0</v>
          </cell>
          <cell r="O195">
            <v>0</v>
          </cell>
          <cell r="R195">
            <v>0</v>
          </cell>
          <cell r="U195">
            <v>0</v>
          </cell>
          <cell r="X195">
            <v>0</v>
          </cell>
          <cell r="AA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I196" t="str">
            <v>PHC 2 Team 1</v>
          </cell>
          <cell r="L196">
            <v>6</v>
          </cell>
          <cell r="O196">
            <v>4</v>
          </cell>
          <cell r="R196">
            <v>6</v>
          </cell>
          <cell r="U196">
            <v>149.9</v>
          </cell>
          <cell r="X196">
            <v>9.5</v>
          </cell>
          <cell r="AA196">
            <v>9</v>
          </cell>
          <cell r="AC196">
            <v>702018</v>
          </cell>
          <cell r="AD196">
            <v>702018</v>
          </cell>
          <cell r="AE196">
            <v>0</v>
          </cell>
        </row>
        <row r="197">
          <cell r="I197" t="str">
            <v>PHC 2 Team 2</v>
          </cell>
          <cell r="L197">
            <v>5</v>
          </cell>
          <cell r="O197">
            <v>4</v>
          </cell>
          <cell r="R197">
            <v>7</v>
          </cell>
          <cell r="U197">
            <v>140</v>
          </cell>
          <cell r="X197">
            <v>13</v>
          </cell>
          <cell r="AA197">
            <v>8</v>
          </cell>
          <cell r="AC197">
            <v>700620</v>
          </cell>
          <cell r="AD197">
            <v>700620</v>
          </cell>
          <cell r="AE197">
            <v>0</v>
          </cell>
        </row>
        <row r="198">
          <cell r="I198" t="str">
            <v>PHC 2 Team 3</v>
          </cell>
          <cell r="L198">
            <v>0</v>
          </cell>
          <cell r="O198">
            <v>0</v>
          </cell>
          <cell r="R198">
            <v>0</v>
          </cell>
          <cell r="U198">
            <v>0</v>
          </cell>
          <cell r="X198">
            <v>0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I199" t="str">
            <v>PHC 2 Team 4</v>
          </cell>
          <cell r="L199">
            <v>0</v>
          </cell>
          <cell r="O199">
            <v>0</v>
          </cell>
          <cell r="R199">
            <v>0</v>
          </cell>
          <cell r="U199">
            <v>0</v>
          </cell>
          <cell r="X199">
            <v>0</v>
          </cell>
          <cell r="AA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I200" t="str">
            <v>BAYELSA Team 1</v>
          </cell>
          <cell r="L200">
            <v>8</v>
          </cell>
          <cell r="O200">
            <v>58</v>
          </cell>
          <cell r="R200">
            <v>27</v>
          </cell>
          <cell r="U200">
            <v>147</v>
          </cell>
          <cell r="X200">
            <v>73</v>
          </cell>
          <cell r="AA200">
            <v>45</v>
          </cell>
          <cell r="AC200">
            <v>2163900</v>
          </cell>
          <cell r="AD200">
            <v>2163900</v>
          </cell>
          <cell r="AE200">
            <v>0</v>
          </cell>
        </row>
        <row r="201">
          <cell r="I201" t="str">
            <v>BAYELSA Team 2</v>
          </cell>
          <cell r="L201">
            <v>4</v>
          </cell>
          <cell r="O201">
            <v>14</v>
          </cell>
          <cell r="R201">
            <v>11</v>
          </cell>
          <cell r="U201">
            <v>36</v>
          </cell>
          <cell r="X201">
            <v>24</v>
          </cell>
          <cell r="AA201">
            <v>15.8</v>
          </cell>
          <cell r="AC201">
            <v>651792</v>
          </cell>
          <cell r="AD201">
            <v>651792</v>
          </cell>
          <cell r="AE201">
            <v>0</v>
          </cell>
        </row>
        <row r="202">
          <cell r="I202" t="str">
            <v>BAYELSA Team 3</v>
          </cell>
          <cell r="L202">
            <v>0</v>
          </cell>
          <cell r="O202">
            <v>0</v>
          </cell>
          <cell r="R202">
            <v>0</v>
          </cell>
          <cell r="U202">
            <v>0</v>
          </cell>
          <cell r="X202">
            <v>0</v>
          </cell>
          <cell r="AA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I203" t="str">
            <v>BAYELSA Team 4</v>
          </cell>
          <cell r="L203">
            <v>0</v>
          </cell>
          <cell r="O203">
            <v>0</v>
          </cell>
          <cell r="R203">
            <v>0</v>
          </cell>
          <cell r="U203">
            <v>0</v>
          </cell>
          <cell r="X203">
            <v>0</v>
          </cell>
          <cell r="AA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I204" t="str">
            <v>UYO Team 1</v>
          </cell>
          <cell r="L204">
            <v>10</v>
          </cell>
          <cell r="O204">
            <v>8</v>
          </cell>
          <cell r="R204">
            <v>10</v>
          </cell>
          <cell r="U204">
            <v>79.599999999999994</v>
          </cell>
          <cell r="X204">
            <v>11</v>
          </cell>
          <cell r="AA204">
            <v>13</v>
          </cell>
          <cell r="AC204">
            <v>607572</v>
          </cell>
          <cell r="AD204">
            <v>607572</v>
          </cell>
          <cell r="AE204">
            <v>0</v>
          </cell>
        </row>
        <row r="205">
          <cell r="I205" t="str">
            <v>UYO Team 2</v>
          </cell>
          <cell r="L205">
            <v>3</v>
          </cell>
          <cell r="O205">
            <v>10</v>
          </cell>
          <cell r="R205">
            <v>6</v>
          </cell>
          <cell r="U205">
            <v>11</v>
          </cell>
          <cell r="X205">
            <v>6</v>
          </cell>
          <cell r="AA205">
            <v>8.9</v>
          </cell>
          <cell r="AC205">
            <v>306936</v>
          </cell>
          <cell r="AD205">
            <v>306936</v>
          </cell>
          <cell r="AE205">
            <v>0</v>
          </cell>
        </row>
        <row r="206">
          <cell r="I206" t="str">
            <v>UYO Team 3</v>
          </cell>
          <cell r="L206">
            <v>0</v>
          </cell>
          <cell r="O206">
            <v>0</v>
          </cell>
          <cell r="R206">
            <v>0</v>
          </cell>
          <cell r="U206">
            <v>0</v>
          </cell>
          <cell r="X206">
            <v>0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I207" t="str">
            <v>UYO Team 4</v>
          </cell>
          <cell r="L207">
            <v>0</v>
          </cell>
          <cell r="O207">
            <v>0</v>
          </cell>
          <cell r="R207">
            <v>0</v>
          </cell>
          <cell r="U207">
            <v>0</v>
          </cell>
          <cell r="X207">
            <v>0</v>
          </cell>
          <cell r="AA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I208" t="str">
            <v>CALABAR Team 1</v>
          </cell>
          <cell r="L208">
            <v>5</v>
          </cell>
          <cell r="O208">
            <v>0</v>
          </cell>
          <cell r="R208">
            <v>25</v>
          </cell>
          <cell r="U208">
            <v>22</v>
          </cell>
          <cell r="X208">
            <v>1</v>
          </cell>
          <cell r="AA208">
            <v>13</v>
          </cell>
          <cell r="AC208">
            <v>456540</v>
          </cell>
          <cell r="AD208">
            <v>456540</v>
          </cell>
          <cell r="AE208">
            <v>0</v>
          </cell>
        </row>
        <row r="209">
          <cell r="I209" t="str">
            <v>CALABAR Team 2</v>
          </cell>
          <cell r="L209">
            <v>8</v>
          </cell>
          <cell r="O209">
            <v>16.8</v>
          </cell>
          <cell r="R209">
            <v>0</v>
          </cell>
          <cell r="U209">
            <v>15</v>
          </cell>
          <cell r="X209">
            <v>7</v>
          </cell>
          <cell r="AA209">
            <v>17</v>
          </cell>
          <cell r="AC209">
            <v>375732</v>
          </cell>
          <cell r="AD209">
            <v>375732</v>
          </cell>
          <cell r="AE209">
            <v>0</v>
          </cell>
        </row>
        <row r="210">
          <cell r="I210" t="str">
            <v>CALABAR Team 3</v>
          </cell>
          <cell r="L210">
            <v>8</v>
          </cell>
          <cell r="O210">
            <v>0</v>
          </cell>
          <cell r="R210">
            <v>0</v>
          </cell>
          <cell r="U210">
            <v>54.9</v>
          </cell>
          <cell r="X210">
            <v>0</v>
          </cell>
          <cell r="AA210">
            <v>35.5</v>
          </cell>
          <cell r="AC210">
            <v>392808</v>
          </cell>
          <cell r="AD210">
            <v>392808</v>
          </cell>
          <cell r="AE210">
            <v>0</v>
          </cell>
        </row>
        <row r="211">
          <cell r="I211" t="str">
            <v>CALABAR Team 4</v>
          </cell>
          <cell r="L211">
            <v>0</v>
          </cell>
          <cell r="O211">
            <v>0</v>
          </cell>
          <cell r="R211">
            <v>0</v>
          </cell>
          <cell r="U211">
            <v>0</v>
          </cell>
          <cell r="X211">
            <v>0</v>
          </cell>
          <cell r="AA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I212" t="str">
            <v>IBADAN I Team 1</v>
          </cell>
          <cell r="L212">
            <v>4</v>
          </cell>
          <cell r="O212">
            <v>15</v>
          </cell>
          <cell r="R212">
            <v>15</v>
          </cell>
          <cell r="X212">
            <v>14.811999999999999</v>
          </cell>
          <cell r="AA212">
            <v>12.5</v>
          </cell>
          <cell r="AC212">
            <v>515025.36</v>
          </cell>
          <cell r="AD212">
            <v>515025.36</v>
          </cell>
          <cell r="AE212">
            <v>0</v>
          </cell>
        </row>
        <row r="213">
          <cell r="I213" t="str">
            <v>IBADAN I Team 2</v>
          </cell>
          <cell r="L213">
            <v>4</v>
          </cell>
          <cell r="O213">
            <v>15</v>
          </cell>
          <cell r="R213">
            <v>15</v>
          </cell>
          <cell r="X213">
            <v>14.811999999999999</v>
          </cell>
          <cell r="AA213">
            <v>12.5</v>
          </cell>
          <cell r="AC213">
            <v>515025.36</v>
          </cell>
          <cell r="AD213">
            <v>515025.36</v>
          </cell>
          <cell r="AE213">
            <v>0</v>
          </cell>
        </row>
        <row r="214">
          <cell r="I214" t="str">
            <v>IBADAN I Team 3</v>
          </cell>
          <cell r="L214">
            <v>4</v>
          </cell>
          <cell r="O214">
            <v>15</v>
          </cell>
          <cell r="R214">
            <v>15</v>
          </cell>
          <cell r="X214">
            <v>14.811999999999999</v>
          </cell>
          <cell r="AA214">
            <v>12.5</v>
          </cell>
          <cell r="AC214">
            <v>515025.36</v>
          </cell>
          <cell r="AD214">
            <v>515025.36</v>
          </cell>
          <cell r="AE214">
            <v>0</v>
          </cell>
        </row>
        <row r="215">
          <cell r="I215" t="str">
            <v>IBADAN I Team 4</v>
          </cell>
          <cell r="L215">
            <v>4</v>
          </cell>
          <cell r="O215">
            <v>15</v>
          </cell>
          <cell r="R215">
            <v>15</v>
          </cell>
          <cell r="X215">
            <v>14.811999999999999</v>
          </cell>
          <cell r="AA215">
            <v>12.5</v>
          </cell>
          <cell r="AC215">
            <v>515025.36</v>
          </cell>
          <cell r="AD215">
            <v>515025.36</v>
          </cell>
          <cell r="AE215">
            <v>0</v>
          </cell>
        </row>
        <row r="216">
          <cell r="I216" t="str">
            <v>IBADAN II Team 1</v>
          </cell>
          <cell r="L216">
            <v>4</v>
          </cell>
          <cell r="O216">
            <v>3.25</v>
          </cell>
          <cell r="R216">
            <v>13.57</v>
          </cell>
          <cell r="X216">
            <v>10</v>
          </cell>
          <cell r="AA216">
            <v>11</v>
          </cell>
          <cell r="AC216">
            <v>333210</v>
          </cell>
          <cell r="AD216">
            <v>333210</v>
          </cell>
          <cell r="AE216">
            <v>0</v>
          </cell>
        </row>
        <row r="217">
          <cell r="I217" t="str">
            <v>IBADAN II Team 2</v>
          </cell>
          <cell r="L217">
            <v>4</v>
          </cell>
          <cell r="O217">
            <v>3.25</v>
          </cell>
          <cell r="R217">
            <v>12.5</v>
          </cell>
          <cell r="X217">
            <v>10</v>
          </cell>
          <cell r="AA217">
            <v>12</v>
          </cell>
          <cell r="AC217">
            <v>326610</v>
          </cell>
          <cell r="AD217">
            <v>326610</v>
          </cell>
          <cell r="AE217">
            <v>0</v>
          </cell>
        </row>
        <row r="218">
          <cell r="I218" t="str">
            <v>IBADAN II Team 3</v>
          </cell>
          <cell r="L218">
            <v>4</v>
          </cell>
          <cell r="O218">
            <v>3.25</v>
          </cell>
          <cell r="R218">
            <v>12.5</v>
          </cell>
          <cell r="X218">
            <v>10</v>
          </cell>
          <cell r="AA218">
            <v>12</v>
          </cell>
          <cell r="AC218">
            <v>326610</v>
          </cell>
          <cell r="AD218">
            <v>326610</v>
          </cell>
          <cell r="AE218">
            <v>0</v>
          </cell>
        </row>
        <row r="219">
          <cell r="I219" t="str">
            <v>IBADAN II Team 4</v>
          </cell>
          <cell r="L219">
            <v>4</v>
          </cell>
          <cell r="O219">
            <v>3.25</v>
          </cell>
          <cell r="R219">
            <v>12.5</v>
          </cell>
          <cell r="X219">
            <v>10</v>
          </cell>
          <cell r="AA219">
            <v>12</v>
          </cell>
          <cell r="AC219">
            <v>326610</v>
          </cell>
          <cell r="AD219">
            <v>326610</v>
          </cell>
          <cell r="AE219">
            <v>0</v>
          </cell>
        </row>
        <row r="220">
          <cell r="I220" t="str">
            <v>OSHOGBO Team 1</v>
          </cell>
          <cell r="L220">
            <v>4</v>
          </cell>
          <cell r="O220">
            <v>3.7749999999999999</v>
          </cell>
          <cell r="R220">
            <v>3.2749999999999999</v>
          </cell>
          <cell r="X220">
            <v>6.71</v>
          </cell>
          <cell r="AA220">
            <v>6.71</v>
          </cell>
          <cell r="AC220">
            <v>166075.20000000001</v>
          </cell>
          <cell r="AD220">
            <v>166075.20000000001</v>
          </cell>
          <cell r="AE220">
            <v>0</v>
          </cell>
        </row>
        <row r="221">
          <cell r="I221" t="str">
            <v>OSHOGBO Team 2</v>
          </cell>
          <cell r="L221">
            <v>4</v>
          </cell>
          <cell r="O221">
            <v>3.7749999999999999</v>
          </cell>
          <cell r="R221">
            <v>3.2749999999999999</v>
          </cell>
          <cell r="X221">
            <v>6.71</v>
          </cell>
          <cell r="AA221">
            <v>6.71</v>
          </cell>
          <cell r="AC221">
            <v>166075.20000000001</v>
          </cell>
          <cell r="AD221">
            <v>166075.20000000001</v>
          </cell>
          <cell r="AE221">
            <v>0</v>
          </cell>
        </row>
        <row r="222">
          <cell r="I222" t="str">
            <v>OSHOGBO Team 3</v>
          </cell>
          <cell r="L222">
            <v>0</v>
          </cell>
          <cell r="O222">
            <v>0</v>
          </cell>
          <cell r="R222">
            <v>0</v>
          </cell>
          <cell r="X222">
            <v>0</v>
          </cell>
          <cell r="AA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I223" t="str">
            <v>OSHOGBO Team 4</v>
          </cell>
          <cell r="L223">
            <v>0</v>
          </cell>
          <cell r="O223">
            <v>0</v>
          </cell>
          <cell r="R223">
            <v>0</v>
          </cell>
          <cell r="X223">
            <v>0</v>
          </cell>
          <cell r="AA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I224" t="str">
            <v>ILORIN  Team 1</v>
          </cell>
          <cell r="L224">
            <v>7</v>
          </cell>
          <cell r="O224">
            <v>3</v>
          </cell>
          <cell r="R224">
            <v>3</v>
          </cell>
          <cell r="X224">
            <v>6</v>
          </cell>
          <cell r="AA224">
            <v>5.3849999999999998</v>
          </cell>
          <cell r="AC224">
            <v>141602.4</v>
          </cell>
          <cell r="AD224">
            <v>141602.4</v>
          </cell>
          <cell r="AE224">
            <v>0</v>
          </cell>
        </row>
        <row r="225">
          <cell r="I225" t="str">
            <v>ILORIN  Team 2</v>
          </cell>
          <cell r="L225">
            <v>7</v>
          </cell>
          <cell r="O225">
            <v>3</v>
          </cell>
          <cell r="R225">
            <v>3</v>
          </cell>
          <cell r="X225">
            <v>6</v>
          </cell>
          <cell r="AA225">
            <v>5.3849999999999998</v>
          </cell>
          <cell r="AC225">
            <v>141602.4</v>
          </cell>
          <cell r="AD225">
            <v>141602.4</v>
          </cell>
          <cell r="AE225">
            <v>0</v>
          </cell>
        </row>
        <row r="226">
          <cell r="I226" t="str">
            <v>ILORIN  Team 3</v>
          </cell>
          <cell r="L226">
            <v>0</v>
          </cell>
          <cell r="O226">
            <v>0</v>
          </cell>
          <cell r="R226">
            <v>0</v>
          </cell>
          <cell r="X226">
            <v>0</v>
          </cell>
          <cell r="AA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I227" t="str">
            <v>ILORIN  Team 4</v>
          </cell>
          <cell r="L227">
            <v>0</v>
          </cell>
          <cell r="O227">
            <v>0</v>
          </cell>
          <cell r="R227">
            <v>0</v>
          </cell>
          <cell r="X227">
            <v>0</v>
          </cell>
          <cell r="AA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I228" t="str">
            <v>BENIN 1 Team 1</v>
          </cell>
          <cell r="L228">
            <v>5</v>
          </cell>
          <cell r="O228">
            <v>22.7</v>
          </cell>
          <cell r="R228">
            <v>10</v>
          </cell>
          <cell r="X228">
            <v>6.7</v>
          </cell>
          <cell r="AA228">
            <v>14.087300000000001</v>
          </cell>
          <cell r="AC228">
            <v>490318.75199999998</v>
          </cell>
          <cell r="AD228">
            <v>490318.75199999998</v>
          </cell>
          <cell r="AE228">
            <v>0</v>
          </cell>
        </row>
        <row r="229">
          <cell r="I229" t="str">
            <v>BENIN 1 Team 2</v>
          </cell>
          <cell r="L229">
            <v>5</v>
          </cell>
          <cell r="O229">
            <v>22.7</v>
          </cell>
          <cell r="R229">
            <v>10</v>
          </cell>
          <cell r="X229">
            <v>6.7</v>
          </cell>
          <cell r="AA229">
            <v>14.087300000000001</v>
          </cell>
          <cell r="AC229">
            <v>490318.75199999998</v>
          </cell>
          <cell r="AD229">
            <v>490318.75199999998</v>
          </cell>
          <cell r="AE229">
            <v>0</v>
          </cell>
        </row>
        <row r="230">
          <cell r="I230" t="str">
            <v>BENIN 1 Team 3</v>
          </cell>
          <cell r="L230">
            <v>4</v>
          </cell>
          <cell r="O230">
            <v>22.7</v>
          </cell>
          <cell r="R230">
            <v>10</v>
          </cell>
          <cell r="X230">
            <v>6.7119999999999997</v>
          </cell>
          <cell r="AA230">
            <v>13.798999999999999</v>
          </cell>
          <cell r="AC230">
            <v>488601.12</v>
          </cell>
          <cell r="AD230">
            <v>488601.12</v>
          </cell>
          <cell r="AE230">
            <v>0</v>
          </cell>
        </row>
        <row r="231">
          <cell r="I231" t="str">
            <v>BENIN 1 Team 4</v>
          </cell>
          <cell r="L231">
            <v>0</v>
          </cell>
          <cell r="O231">
            <v>0</v>
          </cell>
          <cell r="R231">
            <v>0</v>
          </cell>
          <cell r="X231">
            <v>0</v>
          </cell>
          <cell r="AA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I232" t="str">
            <v>BENIN II Team 1</v>
          </cell>
          <cell r="L232">
            <v>7</v>
          </cell>
          <cell r="O232">
            <v>60</v>
          </cell>
          <cell r="R232">
            <v>39</v>
          </cell>
          <cell r="X232">
            <v>0</v>
          </cell>
          <cell r="AA232">
            <v>17.5</v>
          </cell>
          <cell r="AC232">
            <v>1203600</v>
          </cell>
          <cell r="AD232">
            <v>1203600</v>
          </cell>
          <cell r="AE232">
            <v>0</v>
          </cell>
        </row>
        <row r="233">
          <cell r="I233" t="str">
            <v>BENIN II Team 2</v>
          </cell>
          <cell r="L233">
            <v>7</v>
          </cell>
          <cell r="O233">
            <v>60</v>
          </cell>
          <cell r="R233">
            <v>37.613999999999997</v>
          </cell>
          <cell r="X233">
            <v>0</v>
          </cell>
          <cell r="AA233">
            <v>17.5</v>
          </cell>
          <cell r="AC233">
            <v>1186968</v>
          </cell>
          <cell r="AD233">
            <v>1186968</v>
          </cell>
          <cell r="AE233">
            <v>0</v>
          </cell>
        </row>
        <row r="234">
          <cell r="I234" t="str">
            <v>BENIN II Team 3</v>
          </cell>
          <cell r="L234">
            <v>0</v>
          </cell>
          <cell r="O234">
            <v>0</v>
          </cell>
          <cell r="R234">
            <v>0</v>
          </cell>
          <cell r="X234">
            <v>0</v>
          </cell>
          <cell r="AA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I235" t="str">
            <v>BENIN II Team 4</v>
          </cell>
          <cell r="L235">
            <v>0</v>
          </cell>
          <cell r="O235">
            <v>0</v>
          </cell>
          <cell r="R235">
            <v>0</v>
          </cell>
          <cell r="X235">
            <v>0</v>
          </cell>
          <cell r="AA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I236" t="str">
            <v>AKURE 1(Ado-Ekiti/Ondo) Team 1</v>
          </cell>
          <cell r="L236">
            <v>0</v>
          </cell>
          <cell r="O236">
            <v>0</v>
          </cell>
          <cell r="R236">
            <v>0</v>
          </cell>
          <cell r="X236">
            <v>0</v>
          </cell>
          <cell r="AA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I237" t="str">
            <v>AKURE 1(Ado-Ekiti/Ondo) Team 2</v>
          </cell>
          <cell r="L237">
            <v>7</v>
          </cell>
          <cell r="O237">
            <v>20</v>
          </cell>
          <cell r="R237">
            <v>15</v>
          </cell>
          <cell r="X237">
            <v>23.628</v>
          </cell>
          <cell r="AA237">
            <v>25</v>
          </cell>
          <cell r="AC237">
            <v>704997.84</v>
          </cell>
          <cell r="AD237">
            <v>704997.84</v>
          </cell>
          <cell r="AE237">
            <v>0</v>
          </cell>
        </row>
        <row r="238">
          <cell r="I238" t="str">
            <v>AKURE 1(Ado-Ekiti/Ondo) Team 3</v>
          </cell>
          <cell r="L238">
            <v>0</v>
          </cell>
          <cell r="O238">
            <v>0</v>
          </cell>
          <cell r="R238">
            <v>0</v>
          </cell>
          <cell r="X238">
            <v>0</v>
          </cell>
          <cell r="AA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I239" t="str">
            <v>AKURE 1(Ado-Ekiti/Ondo) Team 4</v>
          </cell>
          <cell r="L239">
            <v>0</v>
          </cell>
          <cell r="O239">
            <v>0</v>
          </cell>
          <cell r="R239">
            <v>0</v>
          </cell>
          <cell r="X239">
            <v>0</v>
          </cell>
          <cell r="AA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I240" t="str">
            <v>AKURE II Team 1</v>
          </cell>
          <cell r="L240">
            <v>7</v>
          </cell>
          <cell r="O240">
            <v>37</v>
          </cell>
          <cell r="R240">
            <v>20</v>
          </cell>
          <cell r="X240">
            <v>26</v>
          </cell>
          <cell r="AA240">
            <v>25.23</v>
          </cell>
          <cell r="AC240">
            <v>959995.2</v>
          </cell>
          <cell r="AD240">
            <v>959995.2</v>
          </cell>
          <cell r="AE240">
            <v>0</v>
          </cell>
        </row>
        <row r="241">
          <cell r="I241" t="str">
            <v>AKURE II Team 2</v>
          </cell>
          <cell r="L241">
            <v>0</v>
          </cell>
          <cell r="O241">
            <v>0</v>
          </cell>
          <cell r="R241">
            <v>0</v>
          </cell>
          <cell r="X241">
            <v>0</v>
          </cell>
          <cell r="AA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I242" t="str">
            <v>AKURE II Team 3</v>
          </cell>
          <cell r="L242">
            <v>0</v>
          </cell>
          <cell r="O242">
            <v>0</v>
          </cell>
          <cell r="R242">
            <v>0</v>
          </cell>
          <cell r="X242">
            <v>0</v>
          </cell>
          <cell r="AA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I243" t="str">
            <v>AKURE II Team 4</v>
          </cell>
          <cell r="L243">
            <v>0</v>
          </cell>
          <cell r="O243">
            <v>0</v>
          </cell>
          <cell r="R243">
            <v>0</v>
          </cell>
          <cell r="X243">
            <v>0</v>
          </cell>
          <cell r="AA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I244" t="str">
            <v>WARRI Team 1</v>
          </cell>
          <cell r="L244">
            <v>10</v>
          </cell>
          <cell r="O244">
            <v>20</v>
          </cell>
          <cell r="R244">
            <v>15.425000000000001</v>
          </cell>
          <cell r="X244">
            <v>30</v>
          </cell>
          <cell r="AA244">
            <v>30</v>
          </cell>
          <cell r="AC244">
            <v>784500</v>
          </cell>
          <cell r="AD244">
            <v>784500</v>
          </cell>
          <cell r="AE244">
            <v>0</v>
          </cell>
        </row>
        <row r="245">
          <cell r="I245" t="str">
            <v>WARRI Team 2</v>
          </cell>
          <cell r="L245">
            <v>0</v>
          </cell>
          <cell r="O245">
            <v>0</v>
          </cell>
          <cell r="R245">
            <v>0</v>
          </cell>
          <cell r="X245">
            <v>0</v>
          </cell>
          <cell r="AA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I246" t="str">
            <v>WARRI Team 3</v>
          </cell>
          <cell r="L246">
            <v>0</v>
          </cell>
          <cell r="O246">
            <v>0</v>
          </cell>
          <cell r="R246">
            <v>0</v>
          </cell>
          <cell r="X246">
            <v>0</v>
          </cell>
          <cell r="AA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I247" t="str">
            <v>WARRI Team 4</v>
          </cell>
          <cell r="L247">
            <v>0</v>
          </cell>
          <cell r="O247">
            <v>0</v>
          </cell>
          <cell r="R247">
            <v>0</v>
          </cell>
          <cell r="X247">
            <v>0</v>
          </cell>
          <cell r="AA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I248" t="str">
            <v>Enugu Team 1</v>
          </cell>
          <cell r="L248">
            <v>7</v>
          </cell>
          <cell r="O248">
            <v>20</v>
          </cell>
          <cell r="R248">
            <v>20</v>
          </cell>
          <cell r="U248">
            <v>20.100000000000001</v>
          </cell>
          <cell r="X248">
            <v>26</v>
          </cell>
          <cell r="AA248">
            <v>10</v>
          </cell>
          <cell r="AC248">
            <v>750192</v>
          </cell>
          <cell r="AD248">
            <v>750192</v>
          </cell>
          <cell r="AE248">
            <v>0</v>
          </cell>
        </row>
        <row r="249">
          <cell r="I249" t="str">
            <v>Enugu Team 2</v>
          </cell>
          <cell r="L249">
            <v>4</v>
          </cell>
          <cell r="O249">
            <v>5</v>
          </cell>
          <cell r="R249">
            <v>5.0999999999999996</v>
          </cell>
          <cell r="U249">
            <v>6.9</v>
          </cell>
          <cell r="X249">
            <v>5</v>
          </cell>
          <cell r="AA249">
            <v>5</v>
          </cell>
          <cell r="AC249">
            <v>200028</v>
          </cell>
          <cell r="AD249">
            <v>200028</v>
          </cell>
          <cell r="AE249">
            <v>0</v>
          </cell>
        </row>
        <row r="250">
          <cell r="I250" t="str">
            <v>Enugu Team 3</v>
          </cell>
          <cell r="L250">
            <v>4</v>
          </cell>
          <cell r="O250">
            <v>5.0999999999999996</v>
          </cell>
          <cell r="R250">
            <v>7.1</v>
          </cell>
          <cell r="U250">
            <v>15</v>
          </cell>
          <cell r="X250">
            <v>5</v>
          </cell>
          <cell r="AA250">
            <v>5</v>
          </cell>
          <cell r="AC250">
            <v>250344</v>
          </cell>
          <cell r="AD250">
            <v>250344</v>
          </cell>
          <cell r="AE250">
            <v>0</v>
          </cell>
        </row>
        <row r="251">
          <cell r="I251" t="str">
            <v>Enugu Team 4</v>
          </cell>
          <cell r="L251">
            <v>0</v>
          </cell>
          <cell r="O251">
            <v>0</v>
          </cell>
          <cell r="R251">
            <v>0</v>
          </cell>
          <cell r="U251">
            <v>0</v>
          </cell>
          <cell r="X251">
            <v>0</v>
          </cell>
          <cell r="AA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I252" t="str">
            <v>Abakaliki Team 1</v>
          </cell>
          <cell r="L252">
            <v>8</v>
          </cell>
          <cell r="O252">
            <v>17</v>
          </cell>
          <cell r="R252">
            <v>8</v>
          </cell>
          <cell r="U252">
            <v>0</v>
          </cell>
          <cell r="X252">
            <v>21</v>
          </cell>
          <cell r="AA252">
            <v>11</v>
          </cell>
          <cell r="AC252">
            <v>484500</v>
          </cell>
          <cell r="AD252">
            <v>484500</v>
          </cell>
          <cell r="AE252">
            <v>0</v>
          </cell>
        </row>
        <row r="253">
          <cell r="I253" t="str">
            <v>Abakaliki Team 2</v>
          </cell>
          <cell r="L253">
            <v>5</v>
          </cell>
          <cell r="O253">
            <v>25</v>
          </cell>
          <cell r="R253">
            <v>6</v>
          </cell>
          <cell r="U253">
            <v>0</v>
          </cell>
          <cell r="X253">
            <v>15.5</v>
          </cell>
          <cell r="AA253">
            <v>12</v>
          </cell>
          <cell r="AC253">
            <v>512970</v>
          </cell>
          <cell r="AD253">
            <v>512970</v>
          </cell>
          <cell r="AE253">
            <v>0</v>
          </cell>
        </row>
        <row r="254">
          <cell r="I254" t="str">
            <v>Abakaliki Team 3</v>
          </cell>
          <cell r="L254">
            <v>0</v>
          </cell>
          <cell r="O254">
            <v>0</v>
          </cell>
          <cell r="R254">
            <v>0</v>
          </cell>
          <cell r="U254">
            <v>0</v>
          </cell>
          <cell r="X254">
            <v>0</v>
          </cell>
          <cell r="AA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I255" t="str">
            <v>Abakaliki Team 4</v>
          </cell>
          <cell r="L255">
            <v>0</v>
          </cell>
          <cell r="O255">
            <v>0</v>
          </cell>
          <cell r="R255">
            <v>0</v>
          </cell>
          <cell r="U255">
            <v>0</v>
          </cell>
          <cell r="X255">
            <v>0</v>
          </cell>
          <cell r="AA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I256" t="str">
            <v>Onitsha Team 1</v>
          </cell>
          <cell r="L256">
            <v>8</v>
          </cell>
          <cell r="O256">
            <v>42</v>
          </cell>
          <cell r="R256">
            <v>15</v>
          </cell>
          <cell r="U256">
            <v>101</v>
          </cell>
          <cell r="X256">
            <v>10</v>
          </cell>
          <cell r="AA256">
            <v>15</v>
          </cell>
          <cell r="AC256">
            <v>1095000</v>
          </cell>
          <cell r="AD256">
            <v>1095000</v>
          </cell>
          <cell r="AE256">
            <v>0</v>
          </cell>
        </row>
        <row r="257">
          <cell r="I257" t="str">
            <v>Onitsha Team 2</v>
          </cell>
          <cell r="L257">
            <v>8</v>
          </cell>
          <cell r="O257">
            <v>23</v>
          </cell>
          <cell r="R257">
            <v>18</v>
          </cell>
          <cell r="U257">
            <v>100</v>
          </cell>
          <cell r="X257">
            <v>20</v>
          </cell>
          <cell r="AA257">
            <v>10</v>
          </cell>
          <cell r="AC257">
            <v>966120</v>
          </cell>
          <cell r="AD257">
            <v>966120</v>
          </cell>
          <cell r="AE257">
            <v>0</v>
          </cell>
        </row>
        <row r="258">
          <cell r="I258" t="str">
            <v>Onitsha Team 3</v>
          </cell>
          <cell r="L258">
            <v>8</v>
          </cell>
          <cell r="O258">
            <v>38</v>
          </cell>
          <cell r="R258">
            <v>15</v>
          </cell>
          <cell r="U258">
            <v>99</v>
          </cell>
          <cell r="X258">
            <v>6</v>
          </cell>
          <cell r="AA258">
            <v>7</v>
          </cell>
          <cell r="AC258">
            <v>969960</v>
          </cell>
          <cell r="AD258">
            <v>969960</v>
          </cell>
          <cell r="AE258">
            <v>0</v>
          </cell>
        </row>
        <row r="259">
          <cell r="I259" t="str">
            <v>Onitsha Team 4</v>
          </cell>
          <cell r="L259">
            <v>8</v>
          </cell>
          <cell r="O259">
            <v>30</v>
          </cell>
          <cell r="R259">
            <v>15</v>
          </cell>
          <cell r="U259">
            <v>70</v>
          </cell>
          <cell r="X259">
            <v>8</v>
          </cell>
          <cell r="AA259">
            <v>9</v>
          </cell>
          <cell r="AC259">
            <v>822000</v>
          </cell>
          <cell r="AD259">
            <v>822000</v>
          </cell>
          <cell r="AE259">
            <v>0</v>
          </cell>
        </row>
        <row r="260">
          <cell r="I260" t="str">
            <v>ASABA Team 1</v>
          </cell>
          <cell r="L260">
            <v>7</v>
          </cell>
          <cell r="O260">
            <v>8</v>
          </cell>
          <cell r="R260">
            <v>12</v>
          </cell>
          <cell r="U260">
            <v>5</v>
          </cell>
          <cell r="X260">
            <v>0</v>
          </cell>
          <cell r="AA260">
            <v>22</v>
          </cell>
          <cell r="AC260">
            <v>380400</v>
          </cell>
          <cell r="AD260">
            <v>380400</v>
          </cell>
          <cell r="AE260">
            <v>0</v>
          </cell>
        </row>
        <row r="261">
          <cell r="I261" t="str">
            <v>ASABA Team 2</v>
          </cell>
          <cell r="L261">
            <v>0</v>
          </cell>
          <cell r="O261">
            <v>0</v>
          </cell>
          <cell r="R261">
            <v>0</v>
          </cell>
          <cell r="U261">
            <v>0</v>
          </cell>
          <cell r="X261">
            <v>0</v>
          </cell>
          <cell r="AA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I262" t="str">
            <v>ASABA Team 3</v>
          </cell>
          <cell r="L262">
            <v>0</v>
          </cell>
          <cell r="O262">
            <v>0</v>
          </cell>
          <cell r="R262">
            <v>0</v>
          </cell>
          <cell r="U262">
            <v>0</v>
          </cell>
          <cell r="X262">
            <v>0</v>
          </cell>
          <cell r="AA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I263" t="str">
            <v>ASABA Team 4</v>
          </cell>
          <cell r="L263">
            <v>0</v>
          </cell>
          <cell r="O263">
            <v>0</v>
          </cell>
          <cell r="R263">
            <v>0</v>
          </cell>
          <cell r="U263">
            <v>0</v>
          </cell>
          <cell r="X263">
            <v>0</v>
          </cell>
          <cell r="AA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I264" t="str">
            <v>OWERRI Team 1</v>
          </cell>
          <cell r="L264">
            <v>8</v>
          </cell>
          <cell r="O264">
            <v>13</v>
          </cell>
          <cell r="R264">
            <v>38.5</v>
          </cell>
          <cell r="U264">
            <v>35</v>
          </cell>
          <cell r="X264">
            <v>15</v>
          </cell>
          <cell r="AA264">
            <v>50</v>
          </cell>
          <cell r="AC264">
            <v>1120620</v>
          </cell>
          <cell r="AD264">
            <v>1120620</v>
          </cell>
          <cell r="AE264">
            <v>0</v>
          </cell>
        </row>
        <row r="265">
          <cell r="I265" t="str">
            <v>OWERRI Team 2</v>
          </cell>
          <cell r="L265">
            <v>8</v>
          </cell>
          <cell r="O265">
            <v>14.8</v>
          </cell>
          <cell r="R265">
            <v>50</v>
          </cell>
          <cell r="U265">
            <v>34.9</v>
          </cell>
          <cell r="X265">
            <v>19</v>
          </cell>
          <cell r="AA265">
            <v>43</v>
          </cell>
          <cell r="AC265">
            <v>1260540</v>
          </cell>
          <cell r="AD265">
            <v>1260540</v>
          </cell>
          <cell r="AE265">
            <v>0</v>
          </cell>
        </row>
        <row r="266">
          <cell r="I266" t="str">
            <v>OWERRI Team 3</v>
          </cell>
          <cell r="L266">
            <v>8</v>
          </cell>
          <cell r="O266">
            <v>21.5</v>
          </cell>
          <cell r="R266">
            <v>35</v>
          </cell>
          <cell r="U266">
            <v>30</v>
          </cell>
          <cell r="X266">
            <v>27</v>
          </cell>
          <cell r="AA266">
            <v>41.6</v>
          </cell>
          <cell r="AC266">
            <v>1180704</v>
          </cell>
          <cell r="AD266">
            <v>1180704</v>
          </cell>
          <cell r="AE266">
            <v>0</v>
          </cell>
        </row>
        <row r="267">
          <cell r="I267" t="str">
            <v>OWERRI Team 4</v>
          </cell>
          <cell r="L267">
            <v>0</v>
          </cell>
          <cell r="O267">
            <v>0</v>
          </cell>
          <cell r="R267">
            <v>0</v>
          </cell>
          <cell r="U267">
            <v>0</v>
          </cell>
          <cell r="X267">
            <v>0</v>
          </cell>
          <cell r="AA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I268" t="str">
            <v>ABA Team 1</v>
          </cell>
          <cell r="L268">
            <v>8</v>
          </cell>
          <cell r="O268">
            <v>22</v>
          </cell>
          <cell r="R268">
            <v>30</v>
          </cell>
          <cell r="U268">
            <v>19.100000000000001</v>
          </cell>
          <cell r="X268">
            <v>15</v>
          </cell>
          <cell r="AA268">
            <v>13</v>
          </cell>
          <cell r="AC268">
            <v>832092</v>
          </cell>
          <cell r="AD268">
            <v>832092</v>
          </cell>
          <cell r="AE268">
            <v>0</v>
          </cell>
        </row>
        <row r="269">
          <cell r="I269" t="str">
            <v>ABA Team 2</v>
          </cell>
          <cell r="L269">
            <v>8</v>
          </cell>
          <cell r="O269">
            <v>20</v>
          </cell>
          <cell r="R269">
            <v>30</v>
          </cell>
          <cell r="U269">
            <v>19.100000000000001</v>
          </cell>
          <cell r="X269">
            <v>15</v>
          </cell>
          <cell r="AA269">
            <v>14</v>
          </cell>
          <cell r="AC269">
            <v>817452</v>
          </cell>
          <cell r="AD269">
            <v>817452</v>
          </cell>
          <cell r="AE269">
            <v>0</v>
          </cell>
        </row>
        <row r="270">
          <cell r="I270" t="str">
            <v>ABA Team 3</v>
          </cell>
          <cell r="L270">
            <v>5</v>
          </cell>
          <cell r="O270">
            <v>23.5</v>
          </cell>
          <cell r="R270">
            <v>31</v>
          </cell>
          <cell r="U270">
            <v>20</v>
          </cell>
          <cell r="X270">
            <v>15</v>
          </cell>
          <cell r="AA270">
            <v>15</v>
          </cell>
          <cell r="AC270">
            <v>875040</v>
          </cell>
          <cell r="AD270">
            <v>875040</v>
          </cell>
          <cell r="AE270">
            <v>0</v>
          </cell>
        </row>
        <row r="271">
          <cell r="I271" t="str">
            <v>ABA Team 4</v>
          </cell>
          <cell r="L271">
            <v>5</v>
          </cell>
          <cell r="O271">
            <v>26.5</v>
          </cell>
          <cell r="R271">
            <v>26</v>
          </cell>
          <cell r="U271">
            <v>21.9</v>
          </cell>
          <cell r="X271">
            <v>10</v>
          </cell>
          <cell r="AA271">
            <v>14</v>
          </cell>
          <cell r="AC271">
            <v>812148</v>
          </cell>
          <cell r="AD271">
            <v>812148</v>
          </cell>
          <cell r="AE271">
            <v>0</v>
          </cell>
        </row>
        <row r="272">
          <cell r="I272" t="str">
            <v>PHC 1 Team 1</v>
          </cell>
          <cell r="L272">
            <v>11</v>
          </cell>
          <cell r="O272">
            <v>0</v>
          </cell>
          <cell r="R272">
            <v>108</v>
          </cell>
          <cell r="U272">
            <v>0</v>
          </cell>
          <cell r="X272">
            <v>0</v>
          </cell>
          <cell r="AA272">
            <v>56.8</v>
          </cell>
          <cell r="AC272">
            <v>1650432</v>
          </cell>
          <cell r="AD272">
            <v>1650432</v>
          </cell>
          <cell r="AE272">
            <v>0</v>
          </cell>
        </row>
        <row r="273">
          <cell r="I273" t="str">
            <v>PHC 1 Team 2</v>
          </cell>
          <cell r="L273">
            <v>11</v>
          </cell>
          <cell r="O273">
            <v>0</v>
          </cell>
          <cell r="R273">
            <v>94.9</v>
          </cell>
          <cell r="U273">
            <v>0</v>
          </cell>
          <cell r="X273">
            <v>0</v>
          </cell>
          <cell r="AA273">
            <v>49.9</v>
          </cell>
          <cell r="AC273">
            <v>1450176</v>
          </cell>
          <cell r="AD273">
            <v>1450176</v>
          </cell>
          <cell r="AE273">
            <v>0</v>
          </cell>
        </row>
        <row r="274">
          <cell r="I274" t="str">
            <v>PHC 1 Team 3</v>
          </cell>
          <cell r="L274">
            <v>0</v>
          </cell>
          <cell r="O274">
            <v>0</v>
          </cell>
          <cell r="R274">
            <v>0</v>
          </cell>
          <cell r="U274">
            <v>0</v>
          </cell>
          <cell r="X274">
            <v>0</v>
          </cell>
          <cell r="AA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I275" t="str">
            <v>PHC 1 Team 4</v>
          </cell>
          <cell r="L275">
            <v>0</v>
          </cell>
          <cell r="O275">
            <v>0</v>
          </cell>
          <cell r="R275">
            <v>0</v>
          </cell>
          <cell r="U275">
            <v>0</v>
          </cell>
          <cell r="X275">
            <v>0</v>
          </cell>
          <cell r="AA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I276" t="str">
            <v>PHC 2 Team 1</v>
          </cell>
          <cell r="L276">
            <v>6</v>
          </cell>
          <cell r="O276">
            <v>9</v>
          </cell>
          <cell r="R276">
            <v>20</v>
          </cell>
          <cell r="U276">
            <v>103</v>
          </cell>
          <cell r="X276">
            <v>10</v>
          </cell>
          <cell r="AA276">
            <v>10</v>
          </cell>
          <cell r="AC276">
            <v>785520</v>
          </cell>
          <cell r="AD276">
            <v>785520</v>
          </cell>
          <cell r="AE276">
            <v>0</v>
          </cell>
        </row>
        <row r="277">
          <cell r="I277" t="str">
            <v>PHC 2 Team 2</v>
          </cell>
          <cell r="L277">
            <v>5</v>
          </cell>
          <cell r="O277">
            <v>8.1999999999999993</v>
          </cell>
          <cell r="R277">
            <v>20</v>
          </cell>
          <cell r="U277">
            <v>100</v>
          </cell>
          <cell r="X277">
            <v>10</v>
          </cell>
          <cell r="AA277">
            <v>10</v>
          </cell>
          <cell r="AC277">
            <v>767808</v>
          </cell>
          <cell r="AD277">
            <v>767808</v>
          </cell>
          <cell r="AE277">
            <v>0</v>
          </cell>
        </row>
        <row r="278">
          <cell r="I278" t="str">
            <v>PHC 2 Team 3</v>
          </cell>
          <cell r="L278">
            <v>0</v>
          </cell>
          <cell r="O278">
            <v>0</v>
          </cell>
          <cell r="R278">
            <v>0</v>
          </cell>
          <cell r="U278">
            <v>0</v>
          </cell>
          <cell r="X278">
            <v>0</v>
          </cell>
          <cell r="AA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I279" t="str">
            <v>PHC 2 Team 4</v>
          </cell>
          <cell r="L279">
            <v>0</v>
          </cell>
          <cell r="O279">
            <v>0</v>
          </cell>
          <cell r="R279">
            <v>0</v>
          </cell>
          <cell r="U279">
            <v>0</v>
          </cell>
          <cell r="X279">
            <v>0</v>
          </cell>
          <cell r="AA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I280" t="str">
            <v>BAYELSA Team 1</v>
          </cell>
          <cell r="L280">
            <v>11</v>
          </cell>
          <cell r="O280">
            <v>67.5</v>
          </cell>
          <cell r="R280">
            <v>18.8</v>
          </cell>
          <cell r="U280">
            <v>156.1</v>
          </cell>
          <cell r="X280">
            <v>83</v>
          </cell>
          <cell r="AA280">
            <v>41</v>
          </cell>
          <cell r="AC280">
            <v>2235912</v>
          </cell>
          <cell r="AD280">
            <v>2235912</v>
          </cell>
          <cell r="AE280">
            <v>0</v>
          </cell>
        </row>
        <row r="281">
          <cell r="I281" t="str">
            <v>BAYELSA Team 2</v>
          </cell>
          <cell r="L281">
            <v>5</v>
          </cell>
          <cell r="O281">
            <v>38.5</v>
          </cell>
          <cell r="R281">
            <v>13</v>
          </cell>
          <cell r="U281">
            <v>41</v>
          </cell>
          <cell r="X281">
            <v>23</v>
          </cell>
          <cell r="AA281">
            <v>28</v>
          </cell>
          <cell r="AC281">
            <v>1016520</v>
          </cell>
          <cell r="AD281">
            <v>1016520</v>
          </cell>
          <cell r="AE281">
            <v>0</v>
          </cell>
        </row>
        <row r="282">
          <cell r="I282" t="str">
            <v>BAYELSA Team 3</v>
          </cell>
          <cell r="L282">
            <v>0</v>
          </cell>
          <cell r="O282">
            <v>0</v>
          </cell>
          <cell r="R282">
            <v>0</v>
          </cell>
          <cell r="U282">
            <v>0</v>
          </cell>
          <cell r="X282">
            <v>0</v>
          </cell>
          <cell r="AA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I283" t="str">
            <v>BAYELSA Team 4</v>
          </cell>
          <cell r="L283">
            <v>0</v>
          </cell>
          <cell r="O283">
            <v>0</v>
          </cell>
          <cell r="R283">
            <v>0</v>
          </cell>
          <cell r="U283">
            <v>0</v>
          </cell>
          <cell r="X283">
            <v>0</v>
          </cell>
          <cell r="AA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I284" t="str">
            <v>UYO Team 1</v>
          </cell>
          <cell r="L284">
            <v>10</v>
          </cell>
          <cell r="O284">
            <v>7.5</v>
          </cell>
          <cell r="R284">
            <v>19</v>
          </cell>
          <cell r="U284">
            <v>49.9</v>
          </cell>
          <cell r="X284">
            <v>11</v>
          </cell>
          <cell r="AA284">
            <v>19</v>
          </cell>
          <cell r="AC284">
            <v>655128</v>
          </cell>
          <cell r="AD284">
            <v>655128</v>
          </cell>
          <cell r="AE284">
            <v>0</v>
          </cell>
        </row>
        <row r="285">
          <cell r="I285" t="str">
            <v>UYO Team 2</v>
          </cell>
          <cell r="L285">
            <v>3</v>
          </cell>
          <cell r="O285">
            <v>5</v>
          </cell>
          <cell r="R285">
            <v>13</v>
          </cell>
          <cell r="U285">
            <v>19</v>
          </cell>
          <cell r="X285">
            <v>6</v>
          </cell>
          <cell r="AA285">
            <v>14</v>
          </cell>
          <cell r="AC285">
            <v>395520</v>
          </cell>
          <cell r="AD285">
            <v>395520</v>
          </cell>
          <cell r="AE285">
            <v>0</v>
          </cell>
        </row>
        <row r="286">
          <cell r="I286" t="str">
            <v>UYO Team 3</v>
          </cell>
          <cell r="L286">
            <v>0</v>
          </cell>
          <cell r="O286">
            <v>0</v>
          </cell>
          <cell r="R286">
            <v>0</v>
          </cell>
          <cell r="U286">
            <v>0</v>
          </cell>
          <cell r="X286">
            <v>0</v>
          </cell>
          <cell r="AA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I287" t="str">
            <v>UYO Team 4</v>
          </cell>
          <cell r="L287">
            <v>0</v>
          </cell>
          <cell r="O287">
            <v>0</v>
          </cell>
          <cell r="R287">
            <v>0</v>
          </cell>
          <cell r="U287">
            <v>0</v>
          </cell>
          <cell r="X287">
            <v>0</v>
          </cell>
          <cell r="AA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I288" t="str">
            <v>CALABAR Team 1</v>
          </cell>
          <cell r="L288">
            <v>5</v>
          </cell>
          <cell r="O288">
            <v>0</v>
          </cell>
          <cell r="R288">
            <v>6</v>
          </cell>
          <cell r="U288">
            <v>23.1</v>
          </cell>
          <cell r="X288">
            <v>13.5</v>
          </cell>
          <cell r="AA288">
            <v>30</v>
          </cell>
          <cell r="AC288">
            <v>422802</v>
          </cell>
          <cell r="AD288">
            <v>422802</v>
          </cell>
          <cell r="AE288">
            <v>0</v>
          </cell>
        </row>
        <row r="289">
          <cell r="I289" t="str">
            <v>CALABAR Team 2</v>
          </cell>
          <cell r="L289">
            <v>8</v>
          </cell>
          <cell r="O289">
            <v>0</v>
          </cell>
          <cell r="R289">
            <v>41.9</v>
          </cell>
          <cell r="U289">
            <v>94</v>
          </cell>
          <cell r="X289">
            <v>0</v>
          </cell>
          <cell r="AA289">
            <v>47.1</v>
          </cell>
          <cell r="AC289">
            <v>1089984</v>
          </cell>
          <cell r="AD289">
            <v>1089984</v>
          </cell>
          <cell r="AE289">
            <v>0</v>
          </cell>
        </row>
        <row r="290">
          <cell r="I290" t="str">
            <v>CALABAR Team 3</v>
          </cell>
          <cell r="L290">
            <v>8</v>
          </cell>
          <cell r="O290">
            <v>0</v>
          </cell>
          <cell r="R290">
            <v>25</v>
          </cell>
          <cell r="U290">
            <v>101.1</v>
          </cell>
          <cell r="X290">
            <v>0</v>
          </cell>
          <cell r="AA290">
            <v>0</v>
          </cell>
          <cell r="AC290">
            <v>615432</v>
          </cell>
          <cell r="AD290">
            <v>615432</v>
          </cell>
          <cell r="AE290">
            <v>0</v>
          </cell>
        </row>
        <row r="291">
          <cell r="I291" t="str">
            <v>CALABAR Team 4</v>
          </cell>
          <cell r="L291">
            <v>0</v>
          </cell>
          <cell r="O291">
            <v>0</v>
          </cell>
          <cell r="R291">
            <v>0</v>
          </cell>
          <cell r="U291">
            <v>0</v>
          </cell>
          <cell r="X291">
            <v>0</v>
          </cell>
          <cell r="AA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I292" t="str">
            <v>IBADAN I Team 1</v>
          </cell>
          <cell r="L292">
            <v>4</v>
          </cell>
          <cell r="O292">
            <v>12.5</v>
          </cell>
          <cell r="R292">
            <v>12.5</v>
          </cell>
          <cell r="X292">
            <v>22.1</v>
          </cell>
          <cell r="AA292">
            <v>12.5</v>
          </cell>
          <cell r="AC292">
            <v>508338</v>
          </cell>
          <cell r="AD292">
            <v>508338</v>
          </cell>
          <cell r="AE292">
            <v>0</v>
          </cell>
        </row>
        <row r="293">
          <cell r="I293" t="str">
            <v>IBADAN I Team 2</v>
          </cell>
          <cell r="L293">
            <v>4</v>
          </cell>
          <cell r="O293">
            <v>12.5</v>
          </cell>
          <cell r="R293">
            <v>12.5</v>
          </cell>
          <cell r="X293">
            <v>22.1</v>
          </cell>
          <cell r="AA293">
            <v>12.5</v>
          </cell>
          <cell r="AC293">
            <v>508338</v>
          </cell>
          <cell r="AD293">
            <v>508338</v>
          </cell>
          <cell r="AE293">
            <v>0</v>
          </cell>
        </row>
        <row r="294">
          <cell r="I294" t="str">
            <v>IBADAN I Team 3</v>
          </cell>
          <cell r="L294">
            <v>4</v>
          </cell>
          <cell r="O294">
            <v>12.5</v>
          </cell>
          <cell r="R294">
            <v>12.5</v>
          </cell>
          <cell r="X294">
            <v>22.1</v>
          </cell>
          <cell r="AA294">
            <v>12.4</v>
          </cell>
          <cell r="AC294">
            <v>507714</v>
          </cell>
          <cell r="AD294">
            <v>507714</v>
          </cell>
          <cell r="AE294">
            <v>0</v>
          </cell>
        </row>
        <row r="295">
          <cell r="I295" t="str">
            <v>IBADAN I Team 4</v>
          </cell>
          <cell r="L295">
            <v>4</v>
          </cell>
          <cell r="O295">
            <v>12.5</v>
          </cell>
          <cell r="R295">
            <v>12.5</v>
          </cell>
          <cell r="X295">
            <v>22.1</v>
          </cell>
          <cell r="AA295">
            <v>12.5</v>
          </cell>
          <cell r="AC295">
            <v>508338</v>
          </cell>
          <cell r="AD295">
            <v>508338</v>
          </cell>
          <cell r="AE295">
            <v>0</v>
          </cell>
        </row>
        <row r="296">
          <cell r="I296" t="str">
            <v>IBADAN II Team 1</v>
          </cell>
          <cell r="L296">
            <v>4</v>
          </cell>
          <cell r="O296">
            <v>5.5</v>
          </cell>
          <cell r="R296">
            <v>13.939</v>
          </cell>
          <cell r="X296">
            <v>10.75</v>
          </cell>
          <cell r="AA296">
            <v>7</v>
          </cell>
          <cell r="AC296">
            <v>341253</v>
          </cell>
          <cell r="AD296">
            <v>341253</v>
          </cell>
          <cell r="AE296">
            <v>0</v>
          </cell>
        </row>
        <row r="297">
          <cell r="I297" t="str">
            <v>IBADAN II Team 2</v>
          </cell>
          <cell r="L297">
            <v>4</v>
          </cell>
          <cell r="O297">
            <v>5.5</v>
          </cell>
          <cell r="R297">
            <v>13.939</v>
          </cell>
          <cell r="X297">
            <v>10.75</v>
          </cell>
          <cell r="AA297">
            <v>7</v>
          </cell>
          <cell r="AC297">
            <v>341253</v>
          </cell>
          <cell r="AD297">
            <v>341253</v>
          </cell>
          <cell r="AE297">
            <v>0</v>
          </cell>
        </row>
        <row r="298">
          <cell r="I298" t="str">
            <v>IBADAN II Team 3</v>
          </cell>
          <cell r="L298">
            <v>4</v>
          </cell>
          <cell r="O298">
            <v>5.5</v>
          </cell>
          <cell r="R298">
            <v>13.939</v>
          </cell>
          <cell r="X298">
            <v>10.75</v>
          </cell>
          <cell r="AA298">
            <v>7</v>
          </cell>
          <cell r="AC298">
            <v>341253</v>
          </cell>
          <cell r="AD298">
            <v>341253</v>
          </cell>
          <cell r="AE298">
            <v>0</v>
          </cell>
        </row>
        <row r="299">
          <cell r="I299" t="str">
            <v>IBADAN II Team 4</v>
          </cell>
          <cell r="L299">
            <v>4</v>
          </cell>
          <cell r="O299">
            <v>5.5</v>
          </cell>
          <cell r="R299">
            <v>13.939</v>
          </cell>
          <cell r="X299">
            <v>10.75</v>
          </cell>
          <cell r="AA299">
            <v>7</v>
          </cell>
          <cell r="AC299">
            <v>341253</v>
          </cell>
          <cell r="AD299">
            <v>341253</v>
          </cell>
          <cell r="AE299">
            <v>0</v>
          </cell>
        </row>
        <row r="300">
          <cell r="I300" t="str">
            <v>OSHOGBO Team 1</v>
          </cell>
          <cell r="L300">
            <v>5</v>
          </cell>
          <cell r="O300">
            <v>4.13</v>
          </cell>
          <cell r="R300">
            <v>4.375</v>
          </cell>
          <cell r="X300">
            <v>8.8000000000000007</v>
          </cell>
          <cell r="AA300">
            <v>8.8000000000000007</v>
          </cell>
          <cell r="AC300">
            <v>210193.2</v>
          </cell>
          <cell r="AD300">
            <v>210193.2</v>
          </cell>
          <cell r="AE300">
            <v>0</v>
          </cell>
        </row>
        <row r="301">
          <cell r="I301" t="str">
            <v>OSHOGBO Team 2</v>
          </cell>
          <cell r="L301">
            <v>6</v>
          </cell>
          <cell r="O301">
            <v>4.13</v>
          </cell>
          <cell r="R301">
            <v>4.375</v>
          </cell>
          <cell r="X301">
            <v>8.8000000000000007</v>
          </cell>
          <cell r="AA301">
            <v>8.8000000000000007</v>
          </cell>
          <cell r="AC301">
            <v>210193.2</v>
          </cell>
          <cell r="AD301">
            <v>210193.2</v>
          </cell>
          <cell r="AE301">
            <v>0</v>
          </cell>
        </row>
        <row r="302">
          <cell r="I302" t="str">
            <v>OSHOGBO Team 3</v>
          </cell>
          <cell r="L302">
            <v>0</v>
          </cell>
          <cell r="O302">
            <v>0</v>
          </cell>
          <cell r="R302">
            <v>0</v>
          </cell>
          <cell r="X302">
            <v>0</v>
          </cell>
          <cell r="AA302">
            <v>0</v>
          </cell>
          <cell r="AC302">
            <v>0</v>
          </cell>
          <cell r="AD302">
            <v>0</v>
          </cell>
          <cell r="AE302">
            <v>0</v>
          </cell>
        </row>
        <row r="303">
          <cell r="I303" t="str">
            <v>OSHOGBO Team 4</v>
          </cell>
          <cell r="L303">
            <v>0</v>
          </cell>
          <cell r="O303">
            <v>0</v>
          </cell>
          <cell r="R303">
            <v>0</v>
          </cell>
          <cell r="X303">
            <v>0</v>
          </cell>
          <cell r="AA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I304" t="str">
            <v>ILORIN  Team 1</v>
          </cell>
          <cell r="L304">
            <v>0</v>
          </cell>
          <cell r="O304">
            <v>0</v>
          </cell>
          <cell r="R304">
            <v>0</v>
          </cell>
          <cell r="X304">
            <v>0</v>
          </cell>
          <cell r="AA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I305" t="str">
            <v>ILORIN  Team 2</v>
          </cell>
          <cell r="L305">
            <v>0</v>
          </cell>
          <cell r="O305">
            <v>0</v>
          </cell>
          <cell r="R305">
            <v>0</v>
          </cell>
          <cell r="X305">
            <v>0</v>
          </cell>
          <cell r="AA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I306" t="str">
            <v>ILORIN  Team 3</v>
          </cell>
          <cell r="L306">
            <v>0</v>
          </cell>
          <cell r="O306">
            <v>0</v>
          </cell>
          <cell r="R306">
            <v>0</v>
          </cell>
          <cell r="X306">
            <v>0</v>
          </cell>
          <cell r="AA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I307" t="str">
            <v>ILORIN  Team 4</v>
          </cell>
          <cell r="L307">
            <v>0</v>
          </cell>
          <cell r="O307">
            <v>0</v>
          </cell>
          <cell r="R307">
            <v>0</v>
          </cell>
          <cell r="X307">
            <v>0</v>
          </cell>
          <cell r="AA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I308" t="str">
            <v>BENIN 1 Team 1</v>
          </cell>
          <cell r="L308">
            <v>5</v>
          </cell>
          <cell r="O308">
            <v>17.5</v>
          </cell>
          <cell r="R308">
            <v>16</v>
          </cell>
          <cell r="X308">
            <v>0</v>
          </cell>
          <cell r="AA308">
            <v>13.75</v>
          </cell>
          <cell r="AC308">
            <v>460500</v>
          </cell>
          <cell r="AD308">
            <v>460500</v>
          </cell>
          <cell r="AE308">
            <v>0</v>
          </cell>
        </row>
        <row r="309">
          <cell r="I309" t="str">
            <v>BENIN 1 Team 2</v>
          </cell>
          <cell r="L309">
            <v>5</v>
          </cell>
          <cell r="O309">
            <v>16.5</v>
          </cell>
          <cell r="R309">
            <v>16</v>
          </cell>
          <cell r="X309">
            <v>0</v>
          </cell>
          <cell r="AA309">
            <v>13.75</v>
          </cell>
          <cell r="AC309">
            <v>450060</v>
          </cell>
          <cell r="AD309">
            <v>450060</v>
          </cell>
          <cell r="AE309">
            <v>0</v>
          </cell>
        </row>
        <row r="310">
          <cell r="I310" t="str">
            <v>BENIN 1 Team 3</v>
          </cell>
          <cell r="L310">
            <v>4</v>
          </cell>
          <cell r="O310">
            <v>16.53</v>
          </cell>
          <cell r="R310">
            <v>16</v>
          </cell>
          <cell r="X310">
            <v>0</v>
          </cell>
          <cell r="AA310">
            <v>13.75</v>
          </cell>
          <cell r="AC310">
            <v>450373.2</v>
          </cell>
          <cell r="AD310">
            <v>450373.2</v>
          </cell>
          <cell r="AE310">
            <v>0</v>
          </cell>
        </row>
        <row r="311">
          <cell r="I311" t="str">
            <v>BENIN 1 Team 4</v>
          </cell>
          <cell r="L311">
            <v>0</v>
          </cell>
          <cell r="O311">
            <v>16.52</v>
          </cell>
          <cell r="R311">
            <v>16</v>
          </cell>
          <cell r="X311">
            <v>0</v>
          </cell>
          <cell r="AA311">
            <v>13.75</v>
          </cell>
          <cell r="AC311">
            <v>450268.8</v>
          </cell>
          <cell r="AD311">
            <v>450268.8</v>
          </cell>
          <cell r="AE311">
            <v>0</v>
          </cell>
        </row>
        <row r="312">
          <cell r="I312" t="str">
            <v>BENIN II Team 1</v>
          </cell>
          <cell r="L312">
            <v>7</v>
          </cell>
          <cell r="O312">
            <v>42.5</v>
          </cell>
          <cell r="R312">
            <v>26</v>
          </cell>
          <cell r="X312">
            <v>0</v>
          </cell>
          <cell r="AA312">
            <v>24.58</v>
          </cell>
          <cell r="AC312">
            <v>909079.2</v>
          </cell>
          <cell r="AD312">
            <v>909079.2</v>
          </cell>
          <cell r="AE312">
            <v>0</v>
          </cell>
        </row>
        <row r="313">
          <cell r="I313" t="str">
            <v>BENIN II Team 2</v>
          </cell>
          <cell r="L313">
            <v>7</v>
          </cell>
          <cell r="O313">
            <v>42.5</v>
          </cell>
          <cell r="R313">
            <v>25</v>
          </cell>
          <cell r="X313">
            <v>0</v>
          </cell>
          <cell r="AA313">
            <v>23.568999999999999</v>
          </cell>
          <cell r="AC313">
            <v>890770.56</v>
          </cell>
          <cell r="AD313">
            <v>890770.56</v>
          </cell>
          <cell r="AE313">
            <v>0</v>
          </cell>
        </row>
        <row r="314">
          <cell r="I314" t="str">
            <v>BENIN II Team 3</v>
          </cell>
          <cell r="L314">
            <v>0</v>
          </cell>
          <cell r="O314">
            <v>0</v>
          </cell>
          <cell r="R314">
            <v>0</v>
          </cell>
          <cell r="X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I315" t="str">
            <v>BENIN II Team 4</v>
          </cell>
          <cell r="L315">
            <v>0</v>
          </cell>
          <cell r="O315">
            <v>0</v>
          </cell>
          <cell r="R315">
            <v>0</v>
          </cell>
          <cell r="X315">
            <v>0</v>
          </cell>
          <cell r="AA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I316" t="str">
            <v>AKURE 1(Ado-Ekiti/Ondo) Team 1</v>
          </cell>
          <cell r="L316">
            <v>10</v>
          </cell>
          <cell r="O316">
            <v>20</v>
          </cell>
          <cell r="R316">
            <v>14</v>
          </cell>
          <cell r="X316">
            <v>30.736999999999998</v>
          </cell>
          <cell r="AA316">
            <v>20</v>
          </cell>
          <cell r="AC316">
            <v>709996.86</v>
          </cell>
          <cell r="AD316">
            <v>709996.86</v>
          </cell>
          <cell r="AE316">
            <v>0</v>
          </cell>
        </row>
        <row r="317">
          <cell r="I317" t="str">
            <v>AKURE 1(Ado-Ekiti/Ondo) Team 2</v>
          </cell>
          <cell r="L317">
            <v>5</v>
          </cell>
          <cell r="O317">
            <v>6</v>
          </cell>
          <cell r="R317">
            <v>13.15</v>
          </cell>
          <cell r="X317">
            <v>21</v>
          </cell>
          <cell r="AA317">
            <v>22</v>
          </cell>
          <cell r="AC317">
            <v>500100</v>
          </cell>
          <cell r="AD317">
            <v>500100</v>
          </cell>
          <cell r="AE317">
            <v>0</v>
          </cell>
        </row>
        <row r="318">
          <cell r="I318" t="str">
            <v>AKURE 1(Ado-Ekiti/Ondo) Team 3</v>
          </cell>
          <cell r="L318">
            <v>0</v>
          </cell>
          <cell r="O318">
            <v>0</v>
          </cell>
          <cell r="R318">
            <v>0</v>
          </cell>
          <cell r="X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</row>
        <row r="319">
          <cell r="I319" t="str">
            <v>AKURE 1(Ado-Ekiti/Ondo) Team 4</v>
          </cell>
          <cell r="L319">
            <v>0</v>
          </cell>
          <cell r="O319">
            <v>0</v>
          </cell>
          <cell r="R319">
            <v>0</v>
          </cell>
          <cell r="X319">
            <v>0</v>
          </cell>
          <cell r="AA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I320" t="str">
            <v>AKURE II Team 1</v>
          </cell>
          <cell r="L320">
            <v>7</v>
          </cell>
          <cell r="O320">
            <v>10</v>
          </cell>
          <cell r="R320">
            <v>14</v>
          </cell>
          <cell r="X320">
            <v>43.173999999999999</v>
          </cell>
          <cell r="AA320">
            <v>12</v>
          </cell>
          <cell r="AC320">
            <v>639999.72</v>
          </cell>
          <cell r="AD320">
            <v>639999.72</v>
          </cell>
          <cell r="AE320">
            <v>0</v>
          </cell>
        </row>
        <row r="321">
          <cell r="I321" t="str">
            <v>AKURE II Team 2</v>
          </cell>
          <cell r="L321">
            <v>0</v>
          </cell>
          <cell r="O321">
            <v>0</v>
          </cell>
          <cell r="R321">
            <v>0</v>
          </cell>
          <cell r="X321">
            <v>0</v>
          </cell>
          <cell r="AA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I322" t="str">
            <v>AKURE II Team 3</v>
          </cell>
          <cell r="L322">
            <v>0</v>
          </cell>
          <cell r="O322">
            <v>0</v>
          </cell>
          <cell r="R322">
            <v>0</v>
          </cell>
          <cell r="X322">
            <v>0</v>
          </cell>
          <cell r="AA322">
            <v>0</v>
          </cell>
          <cell r="AC322">
            <v>0</v>
          </cell>
          <cell r="AD322">
            <v>0</v>
          </cell>
          <cell r="AE322">
            <v>0</v>
          </cell>
        </row>
        <row r="323">
          <cell r="I323" t="str">
            <v>AKURE II Team 4</v>
          </cell>
          <cell r="L323">
            <v>0</v>
          </cell>
          <cell r="O323">
            <v>0</v>
          </cell>
          <cell r="R323">
            <v>0</v>
          </cell>
          <cell r="X323">
            <v>0</v>
          </cell>
          <cell r="AA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I324" t="str">
            <v>WARRI Team 1</v>
          </cell>
          <cell r="L324">
            <v>7</v>
          </cell>
          <cell r="O324">
            <v>14</v>
          </cell>
          <cell r="R324">
            <v>15</v>
          </cell>
          <cell r="X324">
            <v>60</v>
          </cell>
          <cell r="AA324">
            <v>18.835999999999999</v>
          </cell>
          <cell r="AC324">
            <v>850496.64</v>
          </cell>
          <cell r="AD324">
            <v>850496.64</v>
          </cell>
          <cell r="AE324">
            <v>0</v>
          </cell>
        </row>
        <row r="325">
          <cell r="I325" t="str">
            <v>WARRI Team 2</v>
          </cell>
          <cell r="L325">
            <v>0</v>
          </cell>
          <cell r="O325">
            <v>0</v>
          </cell>
          <cell r="R325">
            <v>0</v>
          </cell>
          <cell r="X325">
            <v>0</v>
          </cell>
          <cell r="AA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I326" t="str">
            <v>WARRI Team 3</v>
          </cell>
          <cell r="L326">
            <v>0</v>
          </cell>
          <cell r="O326">
            <v>0</v>
          </cell>
          <cell r="R326">
            <v>0</v>
          </cell>
          <cell r="X326">
            <v>0</v>
          </cell>
          <cell r="AA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I327" t="str">
            <v>WARRI Team 4</v>
          </cell>
          <cell r="L327">
            <v>0</v>
          </cell>
          <cell r="O327">
            <v>0</v>
          </cell>
          <cell r="R327">
            <v>0</v>
          </cell>
          <cell r="X327">
            <v>0</v>
          </cell>
          <cell r="AA327">
            <v>0</v>
          </cell>
          <cell r="AC327">
            <v>0</v>
          </cell>
          <cell r="AD327">
            <v>0</v>
          </cell>
          <cell r="AE327">
            <v>0</v>
          </cell>
        </row>
        <row r="328">
          <cell r="I328" t="str">
            <v>Enugu Team 1</v>
          </cell>
          <cell r="L328">
            <v>7</v>
          </cell>
          <cell r="O328">
            <v>19.8</v>
          </cell>
          <cell r="R328">
            <v>15</v>
          </cell>
          <cell r="U328">
            <v>20</v>
          </cell>
          <cell r="X328">
            <v>15</v>
          </cell>
          <cell r="AA328">
            <v>40</v>
          </cell>
          <cell r="AC328">
            <v>800412</v>
          </cell>
          <cell r="AD328">
            <v>800412</v>
          </cell>
          <cell r="AE328">
            <v>0</v>
          </cell>
        </row>
        <row r="329">
          <cell r="I329" t="str">
            <v>Enugu Team 2</v>
          </cell>
          <cell r="L329">
            <v>4</v>
          </cell>
          <cell r="O329">
            <v>2.5</v>
          </cell>
          <cell r="R329">
            <v>10</v>
          </cell>
          <cell r="U329">
            <v>10</v>
          </cell>
          <cell r="X329">
            <v>9</v>
          </cell>
          <cell r="AA329">
            <v>10</v>
          </cell>
          <cell r="AC329">
            <v>300720</v>
          </cell>
          <cell r="AD329">
            <v>300720</v>
          </cell>
          <cell r="AE329">
            <v>0</v>
          </cell>
        </row>
        <row r="330">
          <cell r="I330" t="str">
            <v>Enugu Team 3</v>
          </cell>
          <cell r="L330">
            <v>3</v>
          </cell>
          <cell r="O330">
            <v>4.3</v>
          </cell>
          <cell r="R330">
            <v>7</v>
          </cell>
          <cell r="U330">
            <v>9.3000000000000007</v>
          </cell>
          <cell r="X330">
            <v>5</v>
          </cell>
          <cell r="AA330">
            <v>10</v>
          </cell>
          <cell r="AC330">
            <v>254208</v>
          </cell>
          <cell r="AD330">
            <v>254208</v>
          </cell>
          <cell r="AE330">
            <v>0</v>
          </cell>
        </row>
        <row r="331">
          <cell r="I331" t="str">
            <v>Enugu Team 4</v>
          </cell>
          <cell r="L331">
            <v>0</v>
          </cell>
          <cell r="O331">
            <v>0</v>
          </cell>
          <cell r="R331">
            <v>0</v>
          </cell>
          <cell r="U331">
            <v>0</v>
          </cell>
          <cell r="X331">
            <v>0</v>
          </cell>
          <cell r="AA331">
            <v>0</v>
          </cell>
          <cell r="AC331">
            <v>0</v>
          </cell>
          <cell r="AD331">
            <v>0</v>
          </cell>
          <cell r="AE331">
            <v>0</v>
          </cell>
        </row>
        <row r="332">
          <cell r="I332" t="str">
            <v>Abakaliki Team 1</v>
          </cell>
          <cell r="L332">
            <v>5</v>
          </cell>
          <cell r="O332">
            <v>26</v>
          </cell>
          <cell r="R332">
            <v>5</v>
          </cell>
          <cell r="U332">
            <v>0</v>
          </cell>
          <cell r="X332">
            <v>20</v>
          </cell>
          <cell r="AA332">
            <v>9.5</v>
          </cell>
          <cell r="AC332">
            <v>526320</v>
          </cell>
          <cell r="AD332">
            <v>526320</v>
          </cell>
          <cell r="AE332">
            <v>0</v>
          </cell>
        </row>
        <row r="333">
          <cell r="I333" t="str">
            <v>Abakaliki Team 2</v>
          </cell>
          <cell r="L333">
            <v>5</v>
          </cell>
          <cell r="O333">
            <v>22</v>
          </cell>
          <cell r="R333">
            <v>4</v>
          </cell>
          <cell r="U333">
            <v>0</v>
          </cell>
          <cell r="X333">
            <v>20</v>
          </cell>
          <cell r="AA333">
            <v>10.3</v>
          </cell>
          <cell r="AC333">
            <v>477552</v>
          </cell>
          <cell r="AD333">
            <v>477552</v>
          </cell>
          <cell r="AE333">
            <v>0</v>
          </cell>
        </row>
        <row r="334">
          <cell r="I334" t="str">
            <v>Abakaliki Team 3</v>
          </cell>
          <cell r="L334">
            <v>0</v>
          </cell>
          <cell r="O334">
            <v>0</v>
          </cell>
          <cell r="R334">
            <v>0</v>
          </cell>
          <cell r="U334">
            <v>0</v>
          </cell>
          <cell r="X334">
            <v>0</v>
          </cell>
          <cell r="AA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I335" t="str">
            <v>Abakaliki Team 4</v>
          </cell>
          <cell r="L335">
            <v>0</v>
          </cell>
          <cell r="O335">
            <v>0</v>
          </cell>
          <cell r="R335">
            <v>0</v>
          </cell>
          <cell r="U335">
            <v>0</v>
          </cell>
          <cell r="X335">
            <v>0</v>
          </cell>
          <cell r="AA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I336" t="str">
            <v>Onitsha Team 1</v>
          </cell>
          <cell r="L336">
            <v>8</v>
          </cell>
          <cell r="O336">
            <v>43.5</v>
          </cell>
          <cell r="R336">
            <v>65</v>
          </cell>
          <cell r="U336">
            <v>130</v>
          </cell>
          <cell r="X336">
            <v>33</v>
          </cell>
          <cell r="AA336">
            <v>30</v>
          </cell>
          <cell r="AC336">
            <v>2050680</v>
          </cell>
          <cell r="AD336">
            <v>2050680</v>
          </cell>
          <cell r="AE336">
            <v>0</v>
          </cell>
        </row>
        <row r="337">
          <cell r="I337" t="str">
            <v>Onitsha Team 2</v>
          </cell>
          <cell r="L337">
            <v>8</v>
          </cell>
          <cell r="O337">
            <v>4.4000000000000004</v>
          </cell>
          <cell r="R337">
            <v>8</v>
          </cell>
          <cell r="U337">
            <v>59.9</v>
          </cell>
          <cell r="X337">
            <v>49</v>
          </cell>
          <cell r="AA337">
            <v>39.5</v>
          </cell>
          <cell r="AC337">
            <v>907524</v>
          </cell>
          <cell r="AD337">
            <v>907524</v>
          </cell>
          <cell r="AE337">
            <v>0</v>
          </cell>
        </row>
        <row r="338">
          <cell r="I338" t="str">
            <v>Onitsha Team 3</v>
          </cell>
          <cell r="L338">
            <v>8</v>
          </cell>
          <cell r="O338">
            <v>30</v>
          </cell>
          <cell r="R338">
            <v>32</v>
          </cell>
          <cell r="U338">
            <v>66.900000000000006</v>
          </cell>
          <cell r="X338">
            <v>0</v>
          </cell>
          <cell r="AA338">
            <v>0</v>
          </cell>
          <cell r="AC338">
            <v>905928</v>
          </cell>
          <cell r="AD338">
            <v>905928</v>
          </cell>
          <cell r="AE338">
            <v>0</v>
          </cell>
        </row>
        <row r="339">
          <cell r="I339" t="str">
            <v>Onitsha Team 4</v>
          </cell>
          <cell r="L339">
            <v>8</v>
          </cell>
          <cell r="O339">
            <v>36.799999999999997</v>
          </cell>
          <cell r="R339">
            <v>0</v>
          </cell>
          <cell r="U339">
            <v>87</v>
          </cell>
          <cell r="X339">
            <v>30</v>
          </cell>
          <cell r="AA339">
            <v>0</v>
          </cell>
          <cell r="AC339">
            <v>859032</v>
          </cell>
          <cell r="AD339">
            <v>859032</v>
          </cell>
          <cell r="AE339">
            <v>0</v>
          </cell>
        </row>
        <row r="340">
          <cell r="I340" t="str">
            <v>ASABA Team 1</v>
          </cell>
          <cell r="L340">
            <v>7</v>
          </cell>
          <cell r="O340">
            <v>8</v>
          </cell>
          <cell r="R340">
            <v>22</v>
          </cell>
          <cell r="U340">
            <v>99.8</v>
          </cell>
          <cell r="X340">
            <v>7.4</v>
          </cell>
          <cell r="AA340">
            <v>1</v>
          </cell>
          <cell r="AC340">
            <v>715308</v>
          </cell>
          <cell r="AD340">
            <v>715308</v>
          </cell>
          <cell r="AE340">
            <v>0</v>
          </cell>
        </row>
        <row r="341">
          <cell r="I341" t="str">
            <v>ASABA Team 2</v>
          </cell>
          <cell r="L341">
            <v>0</v>
          </cell>
          <cell r="O341">
            <v>0</v>
          </cell>
          <cell r="R341">
            <v>0</v>
          </cell>
          <cell r="U341">
            <v>0</v>
          </cell>
          <cell r="X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I342" t="str">
            <v>ASABA Team 3</v>
          </cell>
          <cell r="L342">
            <v>0</v>
          </cell>
          <cell r="O342">
            <v>0</v>
          </cell>
          <cell r="R342">
            <v>0</v>
          </cell>
          <cell r="U342">
            <v>0</v>
          </cell>
          <cell r="X342">
            <v>0</v>
          </cell>
          <cell r="AA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I343" t="str">
            <v>ASABA Team 4</v>
          </cell>
          <cell r="L343">
            <v>0</v>
          </cell>
          <cell r="O343">
            <v>0</v>
          </cell>
          <cell r="R343">
            <v>0</v>
          </cell>
          <cell r="U343">
            <v>0</v>
          </cell>
          <cell r="X343">
            <v>0</v>
          </cell>
          <cell r="AA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I344" t="str">
            <v>OWERRI Team 1</v>
          </cell>
          <cell r="L344">
            <v>8</v>
          </cell>
          <cell r="O344">
            <v>29</v>
          </cell>
          <cell r="R344">
            <v>27</v>
          </cell>
          <cell r="U344">
            <v>35.9</v>
          </cell>
          <cell r="X344">
            <v>10.4</v>
          </cell>
          <cell r="AA344">
            <v>45</v>
          </cell>
          <cell r="AC344">
            <v>1090080</v>
          </cell>
          <cell r="AD344">
            <v>1090080</v>
          </cell>
          <cell r="AE344">
            <v>0</v>
          </cell>
        </row>
        <row r="345">
          <cell r="I345" t="str">
            <v>OWERRI Team 2</v>
          </cell>
          <cell r="L345">
            <v>8</v>
          </cell>
          <cell r="O345">
            <v>23</v>
          </cell>
          <cell r="R345">
            <v>51</v>
          </cell>
          <cell r="U345">
            <v>35</v>
          </cell>
          <cell r="X345">
            <v>10.6</v>
          </cell>
          <cell r="AA345">
            <v>22</v>
          </cell>
          <cell r="AC345">
            <v>1170468</v>
          </cell>
          <cell r="AD345">
            <v>1170468</v>
          </cell>
          <cell r="AE345">
            <v>0</v>
          </cell>
        </row>
        <row r="346">
          <cell r="I346" t="str">
            <v>OWERRI Team 3</v>
          </cell>
          <cell r="L346">
            <v>8</v>
          </cell>
          <cell r="O346">
            <v>12.5</v>
          </cell>
          <cell r="R346">
            <v>40</v>
          </cell>
          <cell r="U346">
            <v>45.1</v>
          </cell>
          <cell r="X346">
            <v>20</v>
          </cell>
          <cell r="AA346">
            <v>44</v>
          </cell>
          <cell r="AC346">
            <v>1161372</v>
          </cell>
          <cell r="AD346">
            <v>1161372</v>
          </cell>
          <cell r="AE346">
            <v>0</v>
          </cell>
        </row>
        <row r="347">
          <cell r="I347" t="str">
            <v>OWERRI Team 4</v>
          </cell>
          <cell r="L347">
            <v>0</v>
          </cell>
          <cell r="O347">
            <v>0</v>
          </cell>
          <cell r="R347">
            <v>0</v>
          </cell>
          <cell r="U347">
            <v>0</v>
          </cell>
          <cell r="X347">
            <v>0</v>
          </cell>
          <cell r="AA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I348" t="str">
            <v>ABA Team 1</v>
          </cell>
          <cell r="L348">
            <v>8</v>
          </cell>
          <cell r="O348">
            <v>24</v>
          </cell>
          <cell r="R348">
            <v>18</v>
          </cell>
          <cell r="U348">
            <v>28.6</v>
          </cell>
          <cell r="X348">
            <v>0</v>
          </cell>
          <cell r="AA348">
            <v>34</v>
          </cell>
          <cell r="AC348">
            <v>767952</v>
          </cell>
          <cell r="AD348">
            <v>767952</v>
          </cell>
          <cell r="AE348">
            <v>0</v>
          </cell>
        </row>
        <row r="349">
          <cell r="I349" t="str">
            <v>ABA Team 2</v>
          </cell>
          <cell r="L349">
            <v>8</v>
          </cell>
          <cell r="O349">
            <v>21</v>
          </cell>
          <cell r="R349">
            <v>20</v>
          </cell>
          <cell r="U349">
            <v>32.9</v>
          </cell>
          <cell r="X349">
            <v>0</v>
          </cell>
          <cell r="AA349">
            <v>34</v>
          </cell>
          <cell r="AC349">
            <v>774048</v>
          </cell>
          <cell r="AD349">
            <v>774048</v>
          </cell>
          <cell r="AE349">
            <v>0</v>
          </cell>
        </row>
        <row r="350">
          <cell r="I350" t="str">
            <v>ABA Team 3</v>
          </cell>
          <cell r="L350">
            <v>5</v>
          </cell>
          <cell r="O350">
            <v>34</v>
          </cell>
          <cell r="R350">
            <v>20</v>
          </cell>
          <cell r="U350">
            <v>30</v>
          </cell>
          <cell r="X350">
            <v>0</v>
          </cell>
          <cell r="AA350">
            <v>32</v>
          </cell>
          <cell r="AC350">
            <v>888240</v>
          </cell>
          <cell r="AD350">
            <v>888240</v>
          </cell>
          <cell r="AE350">
            <v>0</v>
          </cell>
        </row>
        <row r="351">
          <cell r="I351" t="str">
            <v>ABA Team 4</v>
          </cell>
          <cell r="L351">
            <v>5</v>
          </cell>
          <cell r="O351">
            <v>28</v>
          </cell>
          <cell r="R351">
            <v>20</v>
          </cell>
          <cell r="U351">
            <v>30.8</v>
          </cell>
          <cell r="X351">
            <v>0</v>
          </cell>
          <cell r="AA351">
            <v>32</v>
          </cell>
          <cell r="AC351">
            <v>828096</v>
          </cell>
          <cell r="AD351">
            <v>828096</v>
          </cell>
          <cell r="AE351">
            <v>0</v>
          </cell>
        </row>
        <row r="352">
          <cell r="I352" t="str">
            <v>PHC 1 Team 1</v>
          </cell>
          <cell r="L352">
            <v>11</v>
          </cell>
          <cell r="O352">
            <v>0</v>
          </cell>
          <cell r="R352">
            <v>53</v>
          </cell>
          <cell r="U352">
            <v>42</v>
          </cell>
          <cell r="X352">
            <v>50</v>
          </cell>
          <cell r="AA352">
            <v>79.2</v>
          </cell>
          <cell r="AC352">
            <v>1600248</v>
          </cell>
          <cell r="AD352">
            <v>1600248</v>
          </cell>
          <cell r="AE352">
            <v>0</v>
          </cell>
        </row>
        <row r="353">
          <cell r="I353" t="str">
            <v>PHC 1 Team 2</v>
          </cell>
          <cell r="L353">
            <v>11</v>
          </cell>
          <cell r="O353">
            <v>0</v>
          </cell>
          <cell r="R353">
            <v>45.3</v>
          </cell>
          <cell r="U353">
            <v>63.1</v>
          </cell>
          <cell r="X353">
            <v>67</v>
          </cell>
          <cell r="AA353">
            <v>81</v>
          </cell>
          <cell r="AC353">
            <v>1700172</v>
          </cell>
          <cell r="AD353">
            <v>1700172</v>
          </cell>
          <cell r="AE353">
            <v>0</v>
          </cell>
        </row>
        <row r="354">
          <cell r="I354" t="str">
            <v>PHC 1 Team 3</v>
          </cell>
          <cell r="L354">
            <v>0</v>
          </cell>
          <cell r="O354">
            <v>0</v>
          </cell>
          <cell r="R354">
            <v>0</v>
          </cell>
          <cell r="U354">
            <v>0</v>
          </cell>
          <cell r="X354">
            <v>0</v>
          </cell>
          <cell r="AA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I355" t="str">
            <v>PHC 1 Team 4</v>
          </cell>
          <cell r="L355">
            <v>0</v>
          </cell>
          <cell r="O355">
            <v>0</v>
          </cell>
          <cell r="R355">
            <v>0</v>
          </cell>
          <cell r="U355">
            <v>0</v>
          </cell>
          <cell r="X355">
            <v>0</v>
          </cell>
          <cell r="AA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I356" t="str">
            <v>PHC 2 Team 1</v>
          </cell>
          <cell r="L356">
            <v>6</v>
          </cell>
          <cell r="O356">
            <v>6.1</v>
          </cell>
          <cell r="R356">
            <v>14</v>
          </cell>
          <cell r="U356">
            <v>107.9</v>
          </cell>
          <cell r="X356">
            <v>46.1</v>
          </cell>
          <cell r="AA356">
            <v>0</v>
          </cell>
          <cell r="AC356">
            <v>880890</v>
          </cell>
          <cell r="AD356">
            <v>880890</v>
          </cell>
          <cell r="AE356">
            <v>0</v>
          </cell>
        </row>
        <row r="357">
          <cell r="I357" t="str">
            <v>PHC 2 Team 2</v>
          </cell>
          <cell r="L357">
            <v>5</v>
          </cell>
          <cell r="O357">
            <v>17.899999999999999</v>
          </cell>
          <cell r="R357">
            <v>12</v>
          </cell>
          <cell r="U357">
            <v>105</v>
          </cell>
          <cell r="X357">
            <v>32</v>
          </cell>
          <cell r="AA357">
            <v>0</v>
          </cell>
          <cell r="AC357">
            <v>875436</v>
          </cell>
          <cell r="AD357">
            <v>875436</v>
          </cell>
          <cell r="AE357">
            <v>0</v>
          </cell>
        </row>
        <row r="358">
          <cell r="I358" t="str">
            <v>PHC 2 Team 3</v>
          </cell>
          <cell r="L358">
            <v>0</v>
          </cell>
          <cell r="O358">
            <v>0</v>
          </cell>
          <cell r="R358">
            <v>0</v>
          </cell>
          <cell r="U358">
            <v>0</v>
          </cell>
          <cell r="X358">
            <v>0</v>
          </cell>
          <cell r="AA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I359" t="str">
            <v>PHC 2 Team 4</v>
          </cell>
          <cell r="L359">
            <v>0</v>
          </cell>
          <cell r="O359">
            <v>0</v>
          </cell>
          <cell r="R359">
            <v>0</v>
          </cell>
          <cell r="U359">
            <v>0</v>
          </cell>
          <cell r="X359">
            <v>0</v>
          </cell>
          <cell r="AA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I360" t="str">
            <v>BAYELSA Team 1</v>
          </cell>
          <cell r="L360">
            <v>4</v>
          </cell>
          <cell r="O360">
            <v>12</v>
          </cell>
          <cell r="R360">
            <v>7</v>
          </cell>
          <cell r="U360">
            <v>94.9</v>
          </cell>
          <cell r="X360">
            <v>30</v>
          </cell>
          <cell r="AA360">
            <v>6</v>
          </cell>
          <cell r="AC360">
            <v>746208</v>
          </cell>
          <cell r="AD360">
            <v>746208</v>
          </cell>
          <cell r="AE360">
            <v>0</v>
          </cell>
        </row>
        <row r="361">
          <cell r="I361" t="str">
            <v>BAYELSA Team 2</v>
          </cell>
          <cell r="L361">
            <v>12</v>
          </cell>
          <cell r="O361">
            <v>48</v>
          </cell>
          <cell r="R361">
            <v>13</v>
          </cell>
          <cell r="U361">
            <v>156.80000000000001</v>
          </cell>
          <cell r="X361">
            <v>41</v>
          </cell>
          <cell r="AA361">
            <v>17</v>
          </cell>
          <cell r="AC361">
            <v>1530396</v>
          </cell>
          <cell r="AD361">
            <v>1530396</v>
          </cell>
          <cell r="AE361">
            <v>0</v>
          </cell>
        </row>
        <row r="362">
          <cell r="I362" t="str">
            <v>BAYELSA Team 3</v>
          </cell>
          <cell r="L362">
            <v>0</v>
          </cell>
          <cell r="O362">
            <v>0</v>
          </cell>
          <cell r="R362">
            <v>0</v>
          </cell>
          <cell r="U362">
            <v>0</v>
          </cell>
          <cell r="X362">
            <v>0</v>
          </cell>
          <cell r="AA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I363" t="str">
            <v>BAYELSA Team 4</v>
          </cell>
          <cell r="L363">
            <v>0</v>
          </cell>
          <cell r="O363">
            <v>0</v>
          </cell>
          <cell r="R363">
            <v>0</v>
          </cell>
          <cell r="U363">
            <v>0</v>
          </cell>
          <cell r="X363">
            <v>0</v>
          </cell>
          <cell r="AA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I364" t="str">
            <v>UYO Team 1</v>
          </cell>
          <cell r="L364">
            <v>10</v>
          </cell>
          <cell r="O364">
            <v>12</v>
          </cell>
          <cell r="R364">
            <v>23</v>
          </cell>
          <cell r="U364">
            <v>40</v>
          </cell>
          <cell r="X364">
            <v>12.6</v>
          </cell>
          <cell r="AA364">
            <v>14</v>
          </cell>
          <cell r="AC364">
            <v>698868</v>
          </cell>
          <cell r="AD364">
            <v>698868</v>
          </cell>
          <cell r="AE364">
            <v>0</v>
          </cell>
        </row>
        <row r="365">
          <cell r="I365" t="str">
            <v>UYO Team 2</v>
          </cell>
          <cell r="L365">
            <v>3</v>
          </cell>
          <cell r="O365">
            <v>6</v>
          </cell>
          <cell r="R365">
            <v>13</v>
          </cell>
          <cell r="U365">
            <v>21.2</v>
          </cell>
          <cell r="X365">
            <v>5.5</v>
          </cell>
          <cell r="AA365">
            <v>16</v>
          </cell>
          <cell r="AC365">
            <v>421914</v>
          </cell>
          <cell r="AD365">
            <v>421914</v>
          </cell>
          <cell r="AE365">
            <v>0</v>
          </cell>
        </row>
        <row r="366">
          <cell r="I366" t="str">
            <v>UYO Team 3</v>
          </cell>
          <cell r="L366">
            <v>0</v>
          </cell>
          <cell r="O366">
            <v>0</v>
          </cell>
          <cell r="R366">
            <v>0</v>
          </cell>
          <cell r="U366">
            <v>0</v>
          </cell>
          <cell r="X366">
            <v>0</v>
          </cell>
          <cell r="AA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I367" t="str">
            <v>UYO Team 4</v>
          </cell>
          <cell r="L367">
            <v>0</v>
          </cell>
          <cell r="O367">
            <v>0</v>
          </cell>
          <cell r="R367">
            <v>0</v>
          </cell>
          <cell r="U367">
            <v>0</v>
          </cell>
          <cell r="X367">
            <v>0</v>
          </cell>
          <cell r="AA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I368" t="str">
            <v>CALABAR Team 1</v>
          </cell>
          <cell r="L368">
            <v>5</v>
          </cell>
          <cell r="O368">
            <v>4.5</v>
          </cell>
          <cell r="R368">
            <v>9</v>
          </cell>
          <cell r="U368">
            <v>77.8</v>
          </cell>
          <cell r="X368">
            <v>15</v>
          </cell>
          <cell r="AA368">
            <v>40</v>
          </cell>
          <cell r="AC368">
            <v>749016</v>
          </cell>
          <cell r="AD368">
            <v>749016</v>
          </cell>
          <cell r="AE368">
            <v>0</v>
          </cell>
        </row>
        <row r="369">
          <cell r="I369" t="str">
            <v>CALABAR Team 2</v>
          </cell>
          <cell r="L369">
            <v>8</v>
          </cell>
          <cell r="O369">
            <v>0</v>
          </cell>
          <cell r="R369">
            <v>54</v>
          </cell>
          <cell r="U369">
            <v>208.2</v>
          </cell>
          <cell r="X369">
            <v>0</v>
          </cell>
          <cell r="AA369">
            <v>0</v>
          </cell>
          <cell r="AC369">
            <v>1297584</v>
          </cell>
          <cell r="AD369">
            <v>1297584</v>
          </cell>
          <cell r="AE369">
            <v>0</v>
          </cell>
        </row>
        <row r="370">
          <cell r="I370" t="str">
            <v>CALABAR Team 3</v>
          </cell>
          <cell r="L370">
            <v>8</v>
          </cell>
          <cell r="O370">
            <v>0</v>
          </cell>
          <cell r="R370">
            <v>54.4</v>
          </cell>
          <cell r="U370">
            <v>100</v>
          </cell>
          <cell r="X370">
            <v>0</v>
          </cell>
          <cell r="AA370">
            <v>0</v>
          </cell>
          <cell r="AC370">
            <v>964800</v>
          </cell>
          <cell r="AD370">
            <v>964800</v>
          </cell>
          <cell r="AE370">
            <v>0</v>
          </cell>
        </row>
        <row r="371">
          <cell r="I371" t="str">
            <v>CALABAR Team 4</v>
          </cell>
          <cell r="L371">
            <v>0</v>
          </cell>
          <cell r="O371">
            <v>0</v>
          </cell>
          <cell r="R371">
            <v>0</v>
          </cell>
          <cell r="U371">
            <v>0</v>
          </cell>
          <cell r="X371">
            <v>0</v>
          </cell>
          <cell r="AA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I372" t="str">
            <v>IBADAN I Team 1</v>
          </cell>
          <cell r="L372">
            <v>4</v>
          </cell>
          <cell r="O372">
            <v>12.5</v>
          </cell>
          <cell r="R372">
            <v>9.2100000000000009</v>
          </cell>
          <cell r="X372">
            <v>12.5</v>
          </cell>
          <cell r="AA372">
            <v>12.5</v>
          </cell>
          <cell r="AC372">
            <v>403770</v>
          </cell>
          <cell r="AD372">
            <v>403770</v>
          </cell>
          <cell r="AE372">
            <v>0</v>
          </cell>
        </row>
        <row r="373">
          <cell r="I373" t="str">
            <v>IBADAN I Team 2</v>
          </cell>
          <cell r="L373">
            <v>4</v>
          </cell>
          <cell r="O373">
            <v>12.5</v>
          </cell>
          <cell r="R373">
            <v>9.2200000000000006</v>
          </cell>
          <cell r="X373">
            <v>12.5</v>
          </cell>
          <cell r="AA373">
            <v>12.5</v>
          </cell>
          <cell r="AC373">
            <v>403890</v>
          </cell>
          <cell r="AD373">
            <v>403890</v>
          </cell>
          <cell r="AE373">
            <v>0</v>
          </cell>
        </row>
        <row r="374">
          <cell r="I374" t="str">
            <v>IBADAN I Team 3</v>
          </cell>
          <cell r="L374">
            <v>4</v>
          </cell>
          <cell r="O374">
            <v>12.5</v>
          </cell>
          <cell r="R374">
            <v>12.5</v>
          </cell>
          <cell r="X374">
            <v>12.5</v>
          </cell>
          <cell r="AA374">
            <v>12.4</v>
          </cell>
          <cell r="AC374">
            <v>442626</v>
          </cell>
          <cell r="AD374">
            <v>442626</v>
          </cell>
          <cell r="AE374">
            <v>0</v>
          </cell>
        </row>
        <row r="375">
          <cell r="I375" t="str">
            <v>IBADAN I Team 4</v>
          </cell>
          <cell r="L375">
            <v>4</v>
          </cell>
          <cell r="O375">
            <v>12.5</v>
          </cell>
          <cell r="R375">
            <v>12.5</v>
          </cell>
          <cell r="X375">
            <v>12.5</v>
          </cell>
          <cell r="AA375">
            <v>12.5</v>
          </cell>
          <cell r="AC375">
            <v>443250</v>
          </cell>
          <cell r="AD375">
            <v>443250</v>
          </cell>
          <cell r="AE375">
            <v>0</v>
          </cell>
        </row>
        <row r="376">
          <cell r="I376" t="str">
            <v>IBADAN II Team 1</v>
          </cell>
          <cell r="L376">
            <v>4</v>
          </cell>
          <cell r="O376">
            <v>4.25</v>
          </cell>
          <cell r="R376">
            <v>15</v>
          </cell>
          <cell r="X376">
            <v>5.5</v>
          </cell>
          <cell r="AA376">
            <v>5.5</v>
          </cell>
          <cell r="AC376">
            <v>295980</v>
          </cell>
          <cell r="AD376">
            <v>295980</v>
          </cell>
          <cell r="AE376">
            <v>0</v>
          </cell>
        </row>
        <row r="377">
          <cell r="I377" t="str">
            <v>IBADAN II Team 2</v>
          </cell>
          <cell r="L377">
            <v>4</v>
          </cell>
          <cell r="O377">
            <v>6.25</v>
          </cell>
          <cell r="R377">
            <v>19</v>
          </cell>
          <cell r="X377">
            <v>11.5</v>
          </cell>
          <cell r="AA377">
            <v>7.5</v>
          </cell>
          <cell r="AC377">
            <v>418020</v>
          </cell>
          <cell r="AD377">
            <v>418020</v>
          </cell>
          <cell r="AE377">
            <v>0</v>
          </cell>
        </row>
        <row r="378">
          <cell r="I378" t="str">
            <v>IBADAN II Team 3</v>
          </cell>
          <cell r="L378">
            <v>4</v>
          </cell>
          <cell r="O378">
            <v>6.25</v>
          </cell>
          <cell r="R378">
            <v>12</v>
          </cell>
          <cell r="X378">
            <v>10.622</v>
          </cell>
          <cell r="AA378">
            <v>7.5</v>
          </cell>
          <cell r="AC378">
            <v>328067.15999999997</v>
          </cell>
          <cell r="AD378">
            <v>328067.15999999997</v>
          </cell>
          <cell r="AE378">
            <v>0</v>
          </cell>
        </row>
        <row r="379">
          <cell r="I379" t="str">
            <v>IBADAN II Team 4</v>
          </cell>
          <cell r="L379">
            <v>4</v>
          </cell>
          <cell r="O379">
            <v>6.25</v>
          </cell>
          <cell r="R379">
            <v>14</v>
          </cell>
          <cell r="X379">
            <v>11.487</v>
          </cell>
          <cell r="AA379">
            <v>7.5</v>
          </cell>
          <cell r="AC379">
            <v>357931.86</v>
          </cell>
          <cell r="AD379">
            <v>357931.86</v>
          </cell>
          <cell r="AE379">
            <v>0</v>
          </cell>
        </row>
        <row r="380">
          <cell r="I380" t="str">
            <v>OSHOGBO Team 1</v>
          </cell>
          <cell r="L380">
            <v>5</v>
          </cell>
          <cell r="O380">
            <v>2.8875000000000002</v>
          </cell>
          <cell r="R380">
            <v>3.6459999999999999</v>
          </cell>
          <cell r="X380">
            <v>7.1935000000000002</v>
          </cell>
          <cell r="AA380">
            <v>6.3994999999999997</v>
          </cell>
          <cell r="AC380">
            <v>162602.31</v>
          </cell>
          <cell r="AD380">
            <v>162602.31</v>
          </cell>
          <cell r="AE380">
            <v>0</v>
          </cell>
        </row>
        <row r="381">
          <cell r="I381" t="str">
            <v>OSHOGBO Team 2</v>
          </cell>
          <cell r="L381">
            <v>3</v>
          </cell>
          <cell r="O381">
            <v>1.8875</v>
          </cell>
          <cell r="R381">
            <v>3.1459999999999999</v>
          </cell>
          <cell r="X381">
            <v>6.2925000000000004</v>
          </cell>
          <cell r="AA381">
            <v>6.2939999999999996</v>
          </cell>
          <cell r="AC381">
            <v>139395.21</v>
          </cell>
          <cell r="AD381">
            <v>139395.21</v>
          </cell>
          <cell r="AE381">
            <v>0</v>
          </cell>
        </row>
        <row r="382">
          <cell r="I382" t="str">
            <v>OSHOGBO Team 3</v>
          </cell>
          <cell r="L382">
            <v>0</v>
          </cell>
          <cell r="O382">
            <v>0</v>
          </cell>
          <cell r="R382">
            <v>0</v>
          </cell>
          <cell r="X382">
            <v>0</v>
          </cell>
          <cell r="AA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I383" t="str">
            <v>OSHOGBO Team 4</v>
          </cell>
          <cell r="L383">
            <v>0</v>
          </cell>
          <cell r="O383">
            <v>0</v>
          </cell>
          <cell r="R383">
            <v>0</v>
          </cell>
          <cell r="X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I384" t="str">
            <v>ILORIN  Team 1</v>
          </cell>
          <cell r="L384">
            <v>6</v>
          </cell>
          <cell r="O384">
            <v>6</v>
          </cell>
          <cell r="R384">
            <v>6</v>
          </cell>
          <cell r="X384">
            <v>7</v>
          </cell>
          <cell r="AA384">
            <v>5.81</v>
          </cell>
          <cell r="AC384">
            <v>218354.4</v>
          </cell>
          <cell r="AD384">
            <v>218354.4</v>
          </cell>
          <cell r="AE384">
            <v>0</v>
          </cell>
        </row>
        <row r="385">
          <cell r="I385" t="str">
            <v>ILORIN  Team 2</v>
          </cell>
          <cell r="L385">
            <v>0</v>
          </cell>
          <cell r="O385">
            <v>0</v>
          </cell>
          <cell r="R385">
            <v>0</v>
          </cell>
          <cell r="X385">
            <v>0</v>
          </cell>
          <cell r="AA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I386" t="str">
            <v>ILORIN  Team 3</v>
          </cell>
          <cell r="L386">
            <v>0</v>
          </cell>
          <cell r="O386">
            <v>0</v>
          </cell>
          <cell r="R386">
            <v>0</v>
          </cell>
          <cell r="X386">
            <v>0</v>
          </cell>
          <cell r="AA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I387" t="str">
            <v>ILORIN  Team 4</v>
          </cell>
          <cell r="L387">
            <v>0</v>
          </cell>
          <cell r="O387">
            <v>0</v>
          </cell>
          <cell r="R387">
            <v>0</v>
          </cell>
          <cell r="X387">
            <v>0</v>
          </cell>
          <cell r="AA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I388" t="str">
            <v>BENIN 1 Team 1</v>
          </cell>
          <cell r="L388">
            <v>7</v>
          </cell>
          <cell r="O388">
            <v>32.549999999999997</v>
          </cell>
          <cell r="R388">
            <v>29.5</v>
          </cell>
          <cell r="X388">
            <v>0</v>
          </cell>
          <cell r="AA388">
            <v>27</v>
          </cell>
          <cell r="AC388">
            <v>862302</v>
          </cell>
          <cell r="AD388">
            <v>862302</v>
          </cell>
          <cell r="AE388">
            <v>0</v>
          </cell>
        </row>
        <row r="389">
          <cell r="I389" t="str">
            <v>BENIN 1 Team 2</v>
          </cell>
          <cell r="L389">
            <v>7</v>
          </cell>
          <cell r="O389">
            <v>31.5</v>
          </cell>
          <cell r="R389">
            <v>29.5</v>
          </cell>
          <cell r="X389">
            <v>0</v>
          </cell>
          <cell r="AA389">
            <v>27</v>
          </cell>
          <cell r="AC389">
            <v>851340</v>
          </cell>
          <cell r="AD389">
            <v>851340</v>
          </cell>
          <cell r="AE389">
            <v>0</v>
          </cell>
        </row>
        <row r="390">
          <cell r="I390" t="str">
            <v>BENIN 1 Team 3</v>
          </cell>
          <cell r="L390">
            <v>0</v>
          </cell>
          <cell r="O390">
            <v>0</v>
          </cell>
          <cell r="R390">
            <v>0</v>
          </cell>
          <cell r="X390">
            <v>0</v>
          </cell>
          <cell r="AA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I391" t="str">
            <v>BENIN 1 Team 4</v>
          </cell>
          <cell r="L391">
            <v>0</v>
          </cell>
          <cell r="O391">
            <v>0</v>
          </cell>
          <cell r="R391">
            <v>0</v>
          </cell>
          <cell r="X391">
            <v>0</v>
          </cell>
          <cell r="AA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I392" t="str">
            <v>BENIN II Team 1</v>
          </cell>
          <cell r="L392">
            <v>7</v>
          </cell>
          <cell r="O392">
            <v>39.5</v>
          </cell>
          <cell r="R392">
            <v>21</v>
          </cell>
          <cell r="X392">
            <v>0</v>
          </cell>
          <cell r="AA392">
            <v>24.11</v>
          </cell>
          <cell r="AC392">
            <v>814826.4</v>
          </cell>
          <cell r="AD392">
            <v>814826.4</v>
          </cell>
          <cell r="AE392">
            <v>0</v>
          </cell>
        </row>
        <row r="393">
          <cell r="I393" t="str">
            <v>BENIN II Team 2</v>
          </cell>
          <cell r="L393">
            <v>7</v>
          </cell>
          <cell r="O393">
            <v>42.5</v>
          </cell>
          <cell r="R393">
            <v>25</v>
          </cell>
          <cell r="X393">
            <v>0</v>
          </cell>
          <cell r="AA393">
            <v>20.04</v>
          </cell>
          <cell r="AC393">
            <v>868749.6</v>
          </cell>
          <cell r="AD393">
            <v>868749.6</v>
          </cell>
          <cell r="AE393">
            <v>0</v>
          </cell>
        </row>
        <row r="394">
          <cell r="I394" t="str">
            <v>BENIN II Team 3</v>
          </cell>
          <cell r="L394">
            <v>0</v>
          </cell>
          <cell r="O394">
            <v>0</v>
          </cell>
          <cell r="R394">
            <v>0</v>
          </cell>
          <cell r="X394">
            <v>0</v>
          </cell>
          <cell r="AA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I395" t="str">
            <v>BENIN II Team 4</v>
          </cell>
          <cell r="L395">
            <v>0</v>
          </cell>
          <cell r="O395">
            <v>0</v>
          </cell>
          <cell r="R395">
            <v>0</v>
          </cell>
          <cell r="X395">
            <v>0</v>
          </cell>
          <cell r="AA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I396" t="str">
            <v>AKURE 1(Ado-Ekiti/Ondo) Team 1</v>
          </cell>
          <cell r="L396">
            <v>10</v>
          </cell>
          <cell r="O396">
            <v>30</v>
          </cell>
          <cell r="R396">
            <v>20</v>
          </cell>
          <cell r="X396">
            <v>20</v>
          </cell>
          <cell r="AA396">
            <v>23.43</v>
          </cell>
          <cell r="AC396">
            <v>835003.2</v>
          </cell>
          <cell r="AD396">
            <v>835003.2</v>
          </cell>
          <cell r="AE396">
            <v>0</v>
          </cell>
        </row>
        <row r="397">
          <cell r="I397" t="str">
            <v>AKURE 1(Ado-Ekiti/Ondo) Team 2</v>
          </cell>
          <cell r="L397">
            <v>5</v>
          </cell>
          <cell r="O397">
            <v>9.5</v>
          </cell>
          <cell r="R397">
            <v>12</v>
          </cell>
          <cell r="X397">
            <v>27</v>
          </cell>
          <cell r="AA397">
            <v>29.128</v>
          </cell>
          <cell r="AC397">
            <v>607998.71999999997</v>
          </cell>
          <cell r="AD397">
            <v>607998.71999999997</v>
          </cell>
          <cell r="AE397">
            <v>0</v>
          </cell>
        </row>
        <row r="398">
          <cell r="I398" t="str">
            <v>AKURE 1(Ado-Ekiti/Ondo) Team 3</v>
          </cell>
          <cell r="L398">
            <v>0</v>
          </cell>
          <cell r="O398">
            <v>0</v>
          </cell>
          <cell r="R398">
            <v>0</v>
          </cell>
          <cell r="X398">
            <v>0</v>
          </cell>
          <cell r="AA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I399" t="str">
            <v>AKURE 1(Ado-Ekiti/Ondo) Team 4</v>
          </cell>
          <cell r="L399">
            <v>0</v>
          </cell>
          <cell r="O399">
            <v>0</v>
          </cell>
          <cell r="R399">
            <v>0</v>
          </cell>
          <cell r="X399">
            <v>0</v>
          </cell>
          <cell r="AA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I400" t="str">
            <v>AKURE II Team 1</v>
          </cell>
          <cell r="L400">
            <v>7</v>
          </cell>
          <cell r="O400">
            <v>10</v>
          </cell>
          <cell r="R400">
            <v>12</v>
          </cell>
          <cell r="X400">
            <v>38.040999999999997</v>
          </cell>
          <cell r="AA400">
            <v>7</v>
          </cell>
          <cell r="AC400">
            <v>549997.98</v>
          </cell>
          <cell r="AD400">
            <v>550000</v>
          </cell>
          <cell r="AE400">
            <v>2.02000000001863</v>
          </cell>
        </row>
        <row r="401">
          <cell r="I401" t="str">
            <v>AKURE II Team 2</v>
          </cell>
          <cell r="L401">
            <v>0</v>
          </cell>
          <cell r="O401">
            <v>0</v>
          </cell>
          <cell r="R401">
            <v>0</v>
          </cell>
          <cell r="X401">
            <v>0</v>
          </cell>
          <cell r="AA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I402" t="str">
            <v>AKURE II Team 3</v>
          </cell>
          <cell r="L402">
            <v>0</v>
          </cell>
          <cell r="O402">
            <v>0</v>
          </cell>
          <cell r="R402">
            <v>0</v>
          </cell>
          <cell r="X402">
            <v>0</v>
          </cell>
          <cell r="AA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I403" t="str">
            <v>AKURE II Team 4</v>
          </cell>
          <cell r="L403">
            <v>0</v>
          </cell>
          <cell r="O403">
            <v>0</v>
          </cell>
          <cell r="R403">
            <v>0</v>
          </cell>
          <cell r="X403">
            <v>0</v>
          </cell>
          <cell r="AA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I404" t="str">
            <v>WARRI Team 1</v>
          </cell>
          <cell r="L404">
            <v>7</v>
          </cell>
          <cell r="O404">
            <v>13</v>
          </cell>
          <cell r="R404">
            <v>20</v>
          </cell>
          <cell r="X404">
            <v>19.478000000000002</v>
          </cell>
          <cell r="AA404">
            <v>9</v>
          </cell>
          <cell r="AC404">
            <v>563940.84</v>
          </cell>
          <cell r="AD404">
            <v>563940.84</v>
          </cell>
          <cell r="AE404">
            <v>0</v>
          </cell>
        </row>
        <row r="405">
          <cell r="I405" t="str">
            <v>WARRI Team 2</v>
          </cell>
          <cell r="L405">
            <v>0</v>
          </cell>
          <cell r="O405">
            <v>0</v>
          </cell>
          <cell r="R405">
            <v>0</v>
          </cell>
          <cell r="X405">
            <v>0</v>
          </cell>
          <cell r="AA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I406" t="str">
            <v>WARRI Team 3</v>
          </cell>
          <cell r="L406">
            <v>0</v>
          </cell>
          <cell r="O406">
            <v>0</v>
          </cell>
          <cell r="R406">
            <v>0</v>
          </cell>
          <cell r="X406">
            <v>0</v>
          </cell>
          <cell r="AA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I407" t="str">
            <v>WARRI Team 4</v>
          </cell>
          <cell r="L407">
            <v>0</v>
          </cell>
          <cell r="O407">
            <v>0</v>
          </cell>
          <cell r="R407">
            <v>0</v>
          </cell>
          <cell r="X407">
            <v>0</v>
          </cell>
          <cell r="AA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I408" t="str">
            <v>Enugu Team 1</v>
          </cell>
          <cell r="L408">
            <v>7</v>
          </cell>
          <cell r="O408">
            <v>18.5</v>
          </cell>
          <cell r="R408">
            <v>23</v>
          </cell>
          <cell r="U408">
            <v>25</v>
          </cell>
          <cell r="X408">
            <v>30</v>
          </cell>
          <cell r="AA408">
            <v>40</v>
          </cell>
          <cell r="AC408">
            <v>1000140</v>
          </cell>
          <cell r="AD408">
            <v>1000140</v>
          </cell>
          <cell r="AE408">
            <v>0</v>
          </cell>
        </row>
        <row r="409">
          <cell r="I409" t="str">
            <v>Enugu Team 2</v>
          </cell>
          <cell r="L409">
            <v>4</v>
          </cell>
          <cell r="O409">
            <v>6</v>
          </cell>
          <cell r="R409">
            <v>10</v>
          </cell>
          <cell r="U409">
            <v>5</v>
          </cell>
          <cell r="X409">
            <v>9.5</v>
          </cell>
          <cell r="AA409">
            <v>6</v>
          </cell>
          <cell r="AC409">
            <v>300090</v>
          </cell>
          <cell r="AD409">
            <v>300090</v>
          </cell>
          <cell r="AE409">
            <v>0</v>
          </cell>
        </row>
        <row r="410">
          <cell r="I410" t="str">
            <v>Enugu Team 3</v>
          </cell>
          <cell r="L410">
            <v>3</v>
          </cell>
          <cell r="O410">
            <v>4</v>
          </cell>
          <cell r="R410">
            <v>5</v>
          </cell>
          <cell r="U410">
            <v>29.8</v>
          </cell>
          <cell r="X410">
            <v>10</v>
          </cell>
          <cell r="AA410">
            <v>10</v>
          </cell>
          <cell r="AC410">
            <v>324936</v>
          </cell>
          <cell r="AD410">
            <v>324936</v>
          </cell>
          <cell r="AE410">
            <v>0</v>
          </cell>
        </row>
        <row r="411">
          <cell r="I411" t="str">
            <v>Enugu Team 4</v>
          </cell>
          <cell r="L411">
            <v>0</v>
          </cell>
          <cell r="O411">
            <v>0</v>
          </cell>
          <cell r="R411">
            <v>0</v>
          </cell>
          <cell r="U411">
            <v>0</v>
          </cell>
          <cell r="X411">
            <v>0</v>
          </cell>
          <cell r="AA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I412" t="str">
            <v>Abakaliki Team 1</v>
          </cell>
          <cell r="L412">
            <v>5</v>
          </cell>
          <cell r="O412">
            <v>31.1</v>
          </cell>
          <cell r="R412">
            <v>15</v>
          </cell>
          <cell r="U412">
            <v>0</v>
          </cell>
          <cell r="X412">
            <v>0</v>
          </cell>
          <cell r="AA412">
            <v>10</v>
          </cell>
          <cell r="AC412">
            <v>567084</v>
          </cell>
          <cell r="AD412">
            <v>567084</v>
          </cell>
          <cell r="AE412">
            <v>0</v>
          </cell>
        </row>
        <row r="413">
          <cell r="I413" t="str">
            <v>Abakaliki Team 2</v>
          </cell>
          <cell r="L413">
            <v>5</v>
          </cell>
          <cell r="O413">
            <v>24.9</v>
          </cell>
          <cell r="R413">
            <v>14</v>
          </cell>
          <cell r="U413">
            <v>0</v>
          </cell>
          <cell r="X413">
            <v>0</v>
          </cell>
          <cell r="AA413">
            <v>9</v>
          </cell>
          <cell r="AC413">
            <v>484116</v>
          </cell>
          <cell r="AD413">
            <v>484116</v>
          </cell>
          <cell r="AE413">
            <v>0</v>
          </cell>
        </row>
        <row r="414">
          <cell r="I414" t="str">
            <v>Abakaliki Team 3</v>
          </cell>
          <cell r="L414">
            <v>0</v>
          </cell>
          <cell r="O414">
            <v>0</v>
          </cell>
          <cell r="R414">
            <v>0</v>
          </cell>
          <cell r="U414">
            <v>0</v>
          </cell>
          <cell r="X414">
            <v>0</v>
          </cell>
          <cell r="AA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I415" t="str">
            <v>Abakaliki Team 4</v>
          </cell>
          <cell r="L415">
            <v>0</v>
          </cell>
          <cell r="O415">
            <v>0</v>
          </cell>
          <cell r="R415">
            <v>0</v>
          </cell>
          <cell r="U415">
            <v>0</v>
          </cell>
          <cell r="X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I416" t="str">
            <v>Onitsha Team 1</v>
          </cell>
          <cell r="L416">
            <v>8</v>
          </cell>
          <cell r="O416">
            <v>39</v>
          </cell>
          <cell r="R416">
            <v>30</v>
          </cell>
          <cell r="U416">
            <v>69.2</v>
          </cell>
          <cell r="X416">
            <v>12</v>
          </cell>
          <cell r="AA416">
            <v>0</v>
          </cell>
          <cell r="AC416">
            <v>1064424</v>
          </cell>
          <cell r="AD416">
            <v>1064424</v>
          </cell>
          <cell r="AE416">
            <v>0</v>
          </cell>
        </row>
        <row r="417">
          <cell r="I417" t="str">
            <v>Onitsha Team 2</v>
          </cell>
          <cell r="L417">
            <v>8</v>
          </cell>
          <cell r="O417">
            <v>5.5</v>
          </cell>
          <cell r="R417">
            <v>8</v>
          </cell>
          <cell r="U417">
            <v>39.9</v>
          </cell>
          <cell r="X417">
            <v>30</v>
          </cell>
          <cell r="AA417">
            <v>58</v>
          </cell>
          <cell r="AC417">
            <v>843228</v>
          </cell>
          <cell r="AD417">
            <v>843228</v>
          </cell>
          <cell r="AE417">
            <v>0</v>
          </cell>
        </row>
        <row r="418">
          <cell r="I418" t="str">
            <v>Onitsha Team 3</v>
          </cell>
          <cell r="L418">
            <v>8</v>
          </cell>
          <cell r="O418">
            <v>50</v>
          </cell>
          <cell r="R418">
            <v>33</v>
          </cell>
          <cell r="U418">
            <v>75.2</v>
          </cell>
          <cell r="X418">
            <v>0</v>
          </cell>
          <cell r="AA418">
            <v>0</v>
          </cell>
          <cell r="AC418">
            <v>1152624</v>
          </cell>
          <cell r="AD418">
            <v>1152624</v>
          </cell>
          <cell r="AE418">
            <v>0</v>
          </cell>
        </row>
        <row r="419">
          <cell r="I419" t="str">
            <v>Onitsha Team 4</v>
          </cell>
          <cell r="L419">
            <v>8</v>
          </cell>
          <cell r="O419">
            <v>21</v>
          </cell>
          <cell r="R419">
            <v>0</v>
          </cell>
          <cell r="U419">
            <v>100.8</v>
          </cell>
          <cell r="X419">
            <v>0</v>
          </cell>
          <cell r="AA419">
            <v>45</v>
          </cell>
          <cell r="AC419">
            <v>814536</v>
          </cell>
          <cell r="AD419">
            <v>814536</v>
          </cell>
          <cell r="AE419">
            <v>0</v>
          </cell>
        </row>
        <row r="420">
          <cell r="I420" t="str">
            <v>ASABA Team 1</v>
          </cell>
          <cell r="L420">
            <v>7</v>
          </cell>
          <cell r="O420">
            <v>17.5</v>
          </cell>
          <cell r="R420">
            <v>10</v>
          </cell>
          <cell r="U420">
            <v>100.2</v>
          </cell>
          <cell r="X420">
            <v>4</v>
          </cell>
          <cell r="AA420">
            <v>2</v>
          </cell>
          <cell r="AC420">
            <v>654924</v>
          </cell>
          <cell r="AD420">
            <v>654924</v>
          </cell>
          <cell r="AE420">
            <v>0</v>
          </cell>
        </row>
        <row r="421">
          <cell r="I421" t="str">
            <v>ASABA Team 2</v>
          </cell>
          <cell r="L421">
            <v>0</v>
          </cell>
          <cell r="O421">
            <v>0</v>
          </cell>
          <cell r="R421">
            <v>0</v>
          </cell>
          <cell r="U421">
            <v>0</v>
          </cell>
          <cell r="X421">
            <v>0</v>
          </cell>
          <cell r="AA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I422" t="str">
            <v>ASABA Team 3</v>
          </cell>
          <cell r="L422">
            <v>0</v>
          </cell>
          <cell r="O422">
            <v>0</v>
          </cell>
          <cell r="R422">
            <v>0</v>
          </cell>
          <cell r="U422">
            <v>0</v>
          </cell>
          <cell r="X422">
            <v>0</v>
          </cell>
          <cell r="AA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I423" t="str">
            <v>ASABA Team 4</v>
          </cell>
          <cell r="L423">
            <v>0</v>
          </cell>
          <cell r="O423">
            <v>0</v>
          </cell>
          <cell r="R423">
            <v>0</v>
          </cell>
          <cell r="U423">
            <v>0</v>
          </cell>
          <cell r="X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I424" t="str">
            <v>OWERRI Team 1</v>
          </cell>
          <cell r="L424">
            <v>8</v>
          </cell>
          <cell r="O424">
            <v>36</v>
          </cell>
          <cell r="R424">
            <v>29</v>
          </cell>
          <cell r="U424">
            <v>30.5</v>
          </cell>
          <cell r="X424">
            <v>15</v>
          </cell>
          <cell r="AA424">
            <v>30</v>
          </cell>
          <cell r="AC424">
            <v>1107900</v>
          </cell>
          <cell r="AD424">
            <v>1107900</v>
          </cell>
          <cell r="AE424">
            <v>0</v>
          </cell>
        </row>
        <row r="425">
          <cell r="I425" t="str">
            <v>OWERRI Team 2</v>
          </cell>
          <cell r="L425">
            <v>8</v>
          </cell>
          <cell r="O425">
            <v>20.6</v>
          </cell>
          <cell r="R425">
            <v>50</v>
          </cell>
          <cell r="U425">
            <v>34.9</v>
          </cell>
          <cell r="X425">
            <v>19</v>
          </cell>
          <cell r="AA425">
            <v>38</v>
          </cell>
          <cell r="AC425">
            <v>1289892</v>
          </cell>
          <cell r="AD425">
            <v>1289892</v>
          </cell>
          <cell r="AE425">
            <v>0</v>
          </cell>
        </row>
        <row r="426">
          <cell r="I426" t="str">
            <v>OWERRI Team 3</v>
          </cell>
          <cell r="L426">
            <v>8</v>
          </cell>
          <cell r="O426">
            <v>11</v>
          </cell>
          <cell r="R426">
            <v>40</v>
          </cell>
          <cell r="U426">
            <v>26.9</v>
          </cell>
          <cell r="X426">
            <v>28</v>
          </cell>
          <cell r="AA426">
            <v>50</v>
          </cell>
          <cell r="AC426">
            <v>1180608</v>
          </cell>
          <cell r="AD426">
            <v>1180608</v>
          </cell>
          <cell r="AE426">
            <v>0</v>
          </cell>
        </row>
        <row r="427">
          <cell r="I427" t="str">
            <v>OWERRI Team 4</v>
          </cell>
          <cell r="L427">
            <v>0</v>
          </cell>
          <cell r="O427">
            <v>0</v>
          </cell>
          <cell r="R427">
            <v>0</v>
          </cell>
          <cell r="U427">
            <v>0</v>
          </cell>
          <cell r="X427">
            <v>0</v>
          </cell>
          <cell r="AA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I428" t="str">
            <v>ABA Team 1</v>
          </cell>
          <cell r="L428">
            <v>8</v>
          </cell>
          <cell r="O428">
            <v>36</v>
          </cell>
          <cell r="R428">
            <v>8.1999999999999993</v>
          </cell>
          <cell r="U428">
            <v>17.899999999999999</v>
          </cell>
          <cell r="X428">
            <v>22</v>
          </cell>
          <cell r="AA428">
            <v>20</v>
          </cell>
          <cell r="AC428">
            <v>804048</v>
          </cell>
          <cell r="AD428">
            <v>804048</v>
          </cell>
          <cell r="AE428">
            <v>0</v>
          </cell>
        </row>
        <row r="429">
          <cell r="I429" t="str">
            <v>ABA Team 2</v>
          </cell>
          <cell r="L429">
            <v>8</v>
          </cell>
          <cell r="O429">
            <v>31</v>
          </cell>
          <cell r="R429">
            <v>8</v>
          </cell>
          <cell r="U429">
            <v>18</v>
          </cell>
          <cell r="X429">
            <v>22</v>
          </cell>
          <cell r="AA429">
            <v>21</v>
          </cell>
          <cell r="AC429">
            <v>756000</v>
          </cell>
          <cell r="AD429">
            <v>756000</v>
          </cell>
          <cell r="AE429">
            <v>0</v>
          </cell>
        </row>
        <row r="430">
          <cell r="I430" t="str">
            <v>ABA Team 3</v>
          </cell>
          <cell r="L430">
            <v>5</v>
          </cell>
          <cell r="O430">
            <v>50</v>
          </cell>
          <cell r="R430">
            <v>10</v>
          </cell>
          <cell r="U430">
            <v>20</v>
          </cell>
          <cell r="X430">
            <v>10.1</v>
          </cell>
          <cell r="AA430">
            <v>30</v>
          </cell>
          <cell r="AC430">
            <v>960078</v>
          </cell>
          <cell r="AD430">
            <v>960078</v>
          </cell>
          <cell r="AE430">
            <v>0</v>
          </cell>
        </row>
        <row r="431">
          <cell r="I431" t="str">
            <v>ABA Team 4</v>
          </cell>
          <cell r="L431">
            <v>5</v>
          </cell>
          <cell r="O431">
            <v>42</v>
          </cell>
          <cell r="R431">
            <v>8</v>
          </cell>
          <cell r="U431">
            <v>10</v>
          </cell>
          <cell r="X431">
            <v>15</v>
          </cell>
          <cell r="AA431">
            <v>19</v>
          </cell>
          <cell r="AC431">
            <v>785940</v>
          </cell>
          <cell r="AD431">
            <v>785940</v>
          </cell>
          <cell r="AE431">
            <v>0</v>
          </cell>
        </row>
        <row r="432">
          <cell r="I432" t="str">
            <v>PHC 1 Team 1</v>
          </cell>
          <cell r="L432">
            <v>11</v>
          </cell>
          <cell r="O432">
            <v>0</v>
          </cell>
          <cell r="R432">
            <v>80.2</v>
          </cell>
          <cell r="U432">
            <v>0</v>
          </cell>
          <cell r="X432">
            <v>50</v>
          </cell>
          <cell r="AA432">
            <v>80</v>
          </cell>
          <cell r="AC432">
            <v>1800600</v>
          </cell>
          <cell r="AD432">
            <v>1800600</v>
          </cell>
          <cell r="AE432">
            <v>0</v>
          </cell>
        </row>
        <row r="433">
          <cell r="I433" t="str">
            <v>PHC 1 Team 2</v>
          </cell>
          <cell r="L433">
            <v>11</v>
          </cell>
          <cell r="O433">
            <v>0</v>
          </cell>
          <cell r="R433">
            <v>46.1</v>
          </cell>
          <cell r="U433">
            <v>0</v>
          </cell>
          <cell r="X433">
            <v>90</v>
          </cell>
          <cell r="AA433">
            <v>70</v>
          </cell>
          <cell r="AC433">
            <v>1600200</v>
          </cell>
          <cell r="AD433">
            <v>1600200</v>
          </cell>
          <cell r="AE433">
            <v>0</v>
          </cell>
        </row>
        <row r="434">
          <cell r="I434" t="str">
            <v>PHC 1 Team 3</v>
          </cell>
          <cell r="L434">
            <v>0</v>
          </cell>
          <cell r="O434">
            <v>0</v>
          </cell>
          <cell r="R434">
            <v>0</v>
          </cell>
          <cell r="U434">
            <v>0</v>
          </cell>
          <cell r="X434">
            <v>0</v>
          </cell>
          <cell r="AA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I435" t="str">
            <v>PHC 1 Team 4</v>
          </cell>
          <cell r="L435">
            <v>0</v>
          </cell>
          <cell r="O435">
            <v>0</v>
          </cell>
          <cell r="R435">
            <v>0</v>
          </cell>
          <cell r="U435">
            <v>0</v>
          </cell>
          <cell r="X435">
            <v>0</v>
          </cell>
          <cell r="AA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I436" t="str">
            <v>PHC 2 Team 1</v>
          </cell>
          <cell r="L436">
            <v>6</v>
          </cell>
          <cell r="O436">
            <v>3.1</v>
          </cell>
          <cell r="R436">
            <v>14</v>
          </cell>
          <cell r="U436">
            <v>189.9</v>
          </cell>
          <cell r="X436">
            <v>13</v>
          </cell>
          <cell r="AA436">
            <v>0</v>
          </cell>
          <cell r="AC436">
            <v>880992</v>
          </cell>
          <cell r="AD436">
            <v>880992</v>
          </cell>
          <cell r="AE436">
            <v>0</v>
          </cell>
        </row>
        <row r="437">
          <cell r="I437" t="str">
            <v>PHC 2 Team 2</v>
          </cell>
          <cell r="L437">
            <v>5</v>
          </cell>
          <cell r="O437">
            <v>4</v>
          </cell>
          <cell r="R437">
            <v>8</v>
          </cell>
          <cell r="U437">
            <v>208.2</v>
          </cell>
          <cell r="X437">
            <v>13</v>
          </cell>
          <cell r="AA437">
            <v>0</v>
          </cell>
          <cell r="AC437">
            <v>875484</v>
          </cell>
          <cell r="AD437">
            <v>875484</v>
          </cell>
          <cell r="AE437">
            <v>0</v>
          </cell>
        </row>
        <row r="438">
          <cell r="I438" t="str">
            <v>PHC 2 Team 3</v>
          </cell>
          <cell r="L438">
            <v>0</v>
          </cell>
          <cell r="O438">
            <v>0</v>
          </cell>
          <cell r="R438">
            <v>0</v>
          </cell>
          <cell r="U438">
            <v>0</v>
          </cell>
          <cell r="X438">
            <v>0</v>
          </cell>
          <cell r="AA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I439" t="str">
            <v>PHC 2 Team 4</v>
          </cell>
          <cell r="L439">
            <v>0</v>
          </cell>
          <cell r="O439">
            <v>0</v>
          </cell>
          <cell r="R439">
            <v>0</v>
          </cell>
          <cell r="U439">
            <v>0</v>
          </cell>
          <cell r="X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I440" t="str">
            <v>BAYELSA Team 1</v>
          </cell>
          <cell r="L440">
            <v>10</v>
          </cell>
          <cell r="O440">
            <v>50.4</v>
          </cell>
          <cell r="R440">
            <v>17</v>
          </cell>
          <cell r="U440">
            <v>95.1</v>
          </cell>
          <cell r="X440">
            <v>64</v>
          </cell>
          <cell r="AA440">
            <v>38</v>
          </cell>
          <cell r="AC440">
            <v>1697928</v>
          </cell>
          <cell r="AD440">
            <v>1697928</v>
          </cell>
          <cell r="AE440">
            <v>0</v>
          </cell>
        </row>
        <row r="441">
          <cell r="I441" t="str">
            <v>BAYELSA Team 2</v>
          </cell>
          <cell r="L441">
            <v>6</v>
          </cell>
          <cell r="O441">
            <v>47</v>
          </cell>
          <cell r="R441">
            <v>31</v>
          </cell>
          <cell r="U441">
            <v>128</v>
          </cell>
          <cell r="X441">
            <v>47</v>
          </cell>
          <cell r="AA441">
            <v>44</v>
          </cell>
          <cell r="AC441">
            <v>1855260</v>
          </cell>
          <cell r="AD441">
            <v>1855260</v>
          </cell>
          <cell r="AE441">
            <v>0</v>
          </cell>
        </row>
        <row r="442">
          <cell r="I442" t="str">
            <v>BAYELSA Team 3</v>
          </cell>
          <cell r="L442">
            <v>0</v>
          </cell>
          <cell r="O442">
            <v>0</v>
          </cell>
          <cell r="R442">
            <v>0</v>
          </cell>
          <cell r="U442">
            <v>0</v>
          </cell>
          <cell r="X442">
            <v>0</v>
          </cell>
          <cell r="AA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I443" t="str">
            <v>BAYELSA Team 4</v>
          </cell>
          <cell r="L443">
            <v>0</v>
          </cell>
          <cell r="O443">
            <v>0</v>
          </cell>
          <cell r="R443">
            <v>0</v>
          </cell>
          <cell r="U443">
            <v>0</v>
          </cell>
          <cell r="X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I444" t="str">
            <v>UYO Team 1</v>
          </cell>
          <cell r="L444">
            <v>10</v>
          </cell>
          <cell r="O444">
            <v>12.1</v>
          </cell>
          <cell r="R444">
            <v>23</v>
          </cell>
          <cell r="U444">
            <v>35.4</v>
          </cell>
          <cell r="X444">
            <v>19</v>
          </cell>
          <cell r="AA444">
            <v>16</v>
          </cell>
          <cell r="AC444">
            <v>741432</v>
          </cell>
          <cell r="AD444">
            <v>741432</v>
          </cell>
          <cell r="AE444">
            <v>0</v>
          </cell>
        </row>
        <row r="445">
          <cell r="I445" t="str">
            <v>UYO Team 2</v>
          </cell>
          <cell r="L445">
            <v>3</v>
          </cell>
          <cell r="O445">
            <v>4</v>
          </cell>
          <cell r="R445">
            <v>16</v>
          </cell>
          <cell r="U445">
            <v>22</v>
          </cell>
          <cell r="X445">
            <v>6</v>
          </cell>
          <cell r="AA445">
            <v>17</v>
          </cell>
          <cell r="AC445">
            <v>449160</v>
          </cell>
          <cell r="AD445">
            <v>449160</v>
          </cell>
          <cell r="AE445">
            <v>0</v>
          </cell>
        </row>
        <row r="446">
          <cell r="I446" t="str">
            <v>UYO Team 3</v>
          </cell>
          <cell r="L446">
            <v>0</v>
          </cell>
          <cell r="O446">
            <v>0</v>
          </cell>
          <cell r="R446">
            <v>0</v>
          </cell>
          <cell r="U446">
            <v>0</v>
          </cell>
          <cell r="X446">
            <v>0</v>
          </cell>
          <cell r="AA446">
            <v>0</v>
          </cell>
          <cell r="AC446">
            <v>0</v>
          </cell>
          <cell r="AD446">
            <v>0</v>
          </cell>
          <cell r="AE446">
            <v>0</v>
          </cell>
        </row>
        <row r="447">
          <cell r="I447" t="str">
            <v>UYO Team 4</v>
          </cell>
          <cell r="L447">
            <v>0</v>
          </cell>
          <cell r="O447">
            <v>0</v>
          </cell>
          <cell r="R447">
            <v>0</v>
          </cell>
          <cell r="U447">
            <v>0</v>
          </cell>
          <cell r="X447">
            <v>0</v>
          </cell>
          <cell r="AA447">
            <v>0</v>
          </cell>
          <cell r="AC447">
            <v>0</v>
          </cell>
          <cell r="AD447">
            <v>0</v>
          </cell>
          <cell r="AE447">
            <v>0</v>
          </cell>
        </row>
        <row r="448">
          <cell r="I448" t="str">
            <v>CALABAR Team 1</v>
          </cell>
          <cell r="L448">
            <v>5</v>
          </cell>
          <cell r="O448">
            <v>0</v>
          </cell>
          <cell r="R448">
            <v>20</v>
          </cell>
          <cell r="U448">
            <v>100</v>
          </cell>
          <cell r="X448">
            <v>17</v>
          </cell>
          <cell r="AA448">
            <v>32.200000000000003</v>
          </cell>
          <cell r="AC448">
            <v>868188</v>
          </cell>
          <cell r="AD448">
            <v>868188</v>
          </cell>
          <cell r="AE448">
            <v>0</v>
          </cell>
        </row>
        <row r="449">
          <cell r="I449" t="str">
            <v>CALABAR Team 2</v>
          </cell>
          <cell r="L449">
            <v>8</v>
          </cell>
          <cell r="O449">
            <v>0</v>
          </cell>
          <cell r="R449">
            <v>30</v>
          </cell>
          <cell r="U449">
            <v>94.9</v>
          </cell>
          <cell r="X449">
            <v>40</v>
          </cell>
          <cell r="AA449">
            <v>13.3</v>
          </cell>
          <cell r="AC449">
            <v>1010280</v>
          </cell>
          <cell r="AD449">
            <v>1010280</v>
          </cell>
          <cell r="AE449">
            <v>0</v>
          </cell>
        </row>
        <row r="450">
          <cell r="I450" t="str">
            <v>CALABAR Team 3</v>
          </cell>
          <cell r="L450">
            <v>8</v>
          </cell>
          <cell r="O450">
            <v>0</v>
          </cell>
          <cell r="R450">
            <v>10</v>
          </cell>
          <cell r="U450">
            <v>41.4</v>
          </cell>
          <cell r="X450">
            <v>61</v>
          </cell>
          <cell r="AA450">
            <v>0</v>
          </cell>
          <cell r="AC450">
            <v>662748</v>
          </cell>
          <cell r="AD450">
            <v>662748</v>
          </cell>
          <cell r="AE450">
            <v>0</v>
          </cell>
        </row>
        <row r="451">
          <cell r="I451" t="str">
            <v>CALABAR Team 4</v>
          </cell>
          <cell r="L451">
            <v>0</v>
          </cell>
          <cell r="O451">
            <v>0</v>
          </cell>
          <cell r="R451">
            <v>0</v>
          </cell>
          <cell r="U451">
            <v>0</v>
          </cell>
          <cell r="X451">
            <v>0</v>
          </cell>
          <cell r="AA451">
            <v>0</v>
          </cell>
          <cell r="AC451">
            <v>0</v>
          </cell>
          <cell r="AD451">
            <v>0</v>
          </cell>
          <cell r="AE451">
            <v>0</v>
          </cell>
        </row>
        <row r="452">
          <cell r="I452" t="str">
            <v>IBADAN I Team 1</v>
          </cell>
          <cell r="L452">
            <v>4</v>
          </cell>
          <cell r="O452">
            <v>17.375</v>
          </cell>
          <cell r="R452">
            <v>15.21</v>
          </cell>
          <cell r="X452">
            <v>15.3</v>
          </cell>
          <cell r="AA452">
            <v>20</v>
          </cell>
          <cell r="AC452">
            <v>592449</v>
          </cell>
          <cell r="AD452">
            <v>592449</v>
          </cell>
          <cell r="AE452">
            <v>0</v>
          </cell>
        </row>
        <row r="453">
          <cell r="I453" t="str">
            <v>IBADAN I Team 2</v>
          </cell>
          <cell r="L453">
            <v>4</v>
          </cell>
          <cell r="O453">
            <v>17.5</v>
          </cell>
          <cell r="R453">
            <v>15.21</v>
          </cell>
          <cell r="X453">
            <v>14.21</v>
          </cell>
          <cell r="AA453">
            <v>20</v>
          </cell>
          <cell r="AC453">
            <v>586363.80000000005</v>
          </cell>
          <cell r="AD453">
            <v>586363.80000000005</v>
          </cell>
          <cell r="AE453">
            <v>0</v>
          </cell>
        </row>
        <row r="454">
          <cell r="I454" t="str">
            <v>IBADAN I Team 3</v>
          </cell>
          <cell r="L454">
            <v>4</v>
          </cell>
          <cell r="O454">
            <v>17.5</v>
          </cell>
          <cell r="R454">
            <v>15.21</v>
          </cell>
          <cell r="X454">
            <v>13.24</v>
          </cell>
          <cell r="AA454">
            <v>20</v>
          </cell>
          <cell r="AC454">
            <v>579787.19999999995</v>
          </cell>
          <cell r="AD454">
            <v>579787.19999999995</v>
          </cell>
          <cell r="AE454">
            <v>0</v>
          </cell>
        </row>
        <row r="455">
          <cell r="I455" t="str">
            <v>IBADAN I Team 4</v>
          </cell>
          <cell r="L455">
            <v>4</v>
          </cell>
          <cell r="O455">
            <v>17.5</v>
          </cell>
          <cell r="R455">
            <v>15.21</v>
          </cell>
          <cell r="X455">
            <v>13.41</v>
          </cell>
          <cell r="AA455">
            <v>20</v>
          </cell>
          <cell r="AC455">
            <v>580939.80000000005</v>
          </cell>
          <cell r="AD455">
            <v>580939.80000000005</v>
          </cell>
          <cell r="AE455">
            <v>0</v>
          </cell>
        </row>
        <row r="456">
          <cell r="I456" t="str">
            <v>IBADAN II Team 1</v>
          </cell>
          <cell r="L456">
            <v>4</v>
          </cell>
          <cell r="O456">
            <v>4.25</v>
          </cell>
          <cell r="R456">
            <v>15</v>
          </cell>
          <cell r="X456">
            <v>5.5</v>
          </cell>
          <cell r="AA456">
            <v>5.5</v>
          </cell>
          <cell r="AC456">
            <v>295980</v>
          </cell>
          <cell r="AD456">
            <v>295980</v>
          </cell>
          <cell r="AE456">
            <v>0</v>
          </cell>
        </row>
        <row r="457">
          <cell r="I457" t="str">
            <v>IBADAN II Team 2</v>
          </cell>
          <cell r="L457">
            <v>4</v>
          </cell>
          <cell r="O457">
            <v>5</v>
          </cell>
          <cell r="R457">
            <v>19</v>
          </cell>
          <cell r="X457">
            <v>5.5</v>
          </cell>
          <cell r="AA457">
            <v>5.5</v>
          </cell>
          <cell r="AC457">
            <v>351810</v>
          </cell>
          <cell r="AD457">
            <v>351810</v>
          </cell>
          <cell r="AE457">
            <v>0</v>
          </cell>
        </row>
        <row r="458">
          <cell r="I458" t="str">
            <v>IBADAN II Team 3</v>
          </cell>
          <cell r="L458">
            <v>4</v>
          </cell>
          <cell r="O458">
            <v>5</v>
          </cell>
          <cell r="R458">
            <v>12</v>
          </cell>
          <cell r="X458">
            <v>10.622</v>
          </cell>
          <cell r="AA458">
            <v>7.2</v>
          </cell>
          <cell r="AC458">
            <v>313145.15999999997</v>
          </cell>
          <cell r="AD458">
            <v>313145.15999999997</v>
          </cell>
          <cell r="AE458">
            <v>0</v>
          </cell>
        </row>
        <row r="459">
          <cell r="I459" t="str">
            <v>IBADAN II Team 4</v>
          </cell>
          <cell r="L459">
            <v>4</v>
          </cell>
          <cell r="O459">
            <v>6.25</v>
          </cell>
          <cell r="R459">
            <v>14</v>
          </cell>
          <cell r="X459">
            <v>10.622</v>
          </cell>
          <cell r="AA459">
            <v>7.5</v>
          </cell>
          <cell r="AC459">
            <v>352067.16</v>
          </cell>
          <cell r="AD459">
            <v>352067.16</v>
          </cell>
          <cell r="AE459">
            <v>0</v>
          </cell>
        </row>
        <row r="460">
          <cell r="I460" t="str">
            <v>OSHOGBO Team 1</v>
          </cell>
          <cell r="L460">
            <v>5</v>
          </cell>
          <cell r="O460">
            <v>2.8875000000000002</v>
          </cell>
          <cell r="R460">
            <v>3.6459999999999999</v>
          </cell>
          <cell r="X460">
            <v>6.1935000000000002</v>
          </cell>
          <cell r="AA460">
            <v>6.1334999999999997</v>
          </cell>
          <cell r="AC460">
            <v>154162.47</v>
          </cell>
          <cell r="AD460">
            <v>154162.47</v>
          </cell>
          <cell r="AE460">
            <v>0</v>
          </cell>
        </row>
        <row r="461">
          <cell r="I461" t="str">
            <v>OSHOGBO Team 2</v>
          </cell>
          <cell r="L461">
            <v>3</v>
          </cell>
          <cell r="O461">
            <v>2.8875000000000002</v>
          </cell>
          <cell r="R461">
            <v>3.1459999999999999</v>
          </cell>
          <cell r="X461">
            <v>6.2925000000000004</v>
          </cell>
          <cell r="AA461">
            <v>6.2939999999999996</v>
          </cell>
          <cell r="AC461">
            <v>149835.21</v>
          </cell>
          <cell r="AD461">
            <v>149835.21</v>
          </cell>
          <cell r="AE461">
            <v>0</v>
          </cell>
        </row>
        <row r="462">
          <cell r="I462" t="str">
            <v>OSHOGBO Team 3</v>
          </cell>
          <cell r="L462">
            <v>0</v>
          </cell>
          <cell r="O462">
            <v>0</v>
          </cell>
          <cell r="R462">
            <v>0</v>
          </cell>
          <cell r="X462">
            <v>0</v>
          </cell>
          <cell r="AA462">
            <v>0</v>
          </cell>
          <cell r="AC462">
            <v>0</v>
          </cell>
          <cell r="AD462">
            <v>0</v>
          </cell>
          <cell r="AE462">
            <v>0</v>
          </cell>
        </row>
        <row r="463">
          <cell r="I463" t="str">
            <v>OSHOGBO Team 4</v>
          </cell>
          <cell r="L463">
            <v>0</v>
          </cell>
          <cell r="O463">
            <v>0</v>
          </cell>
          <cell r="R463">
            <v>0</v>
          </cell>
          <cell r="X463">
            <v>0</v>
          </cell>
          <cell r="AA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I464" t="str">
            <v>ILORIN  Team 1</v>
          </cell>
          <cell r="L464">
            <v>6</v>
          </cell>
          <cell r="O464">
            <v>7</v>
          </cell>
          <cell r="R464">
            <v>7</v>
          </cell>
          <cell r="X464">
            <v>17</v>
          </cell>
          <cell r="AA464">
            <v>15</v>
          </cell>
          <cell r="AC464">
            <v>365940</v>
          </cell>
          <cell r="AD464">
            <v>365940</v>
          </cell>
          <cell r="AE464">
            <v>0</v>
          </cell>
        </row>
        <row r="465">
          <cell r="I465" t="str">
            <v>ILORIN  Team 2</v>
          </cell>
          <cell r="L465">
            <v>0</v>
          </cell>
          <cell r="O465">
            <v>0</v>
          </cell>
          <cell r="R465">
            <v>0</v>
          </cell>
          <cell r="X465">
            <v>0</v>
          </cell>
          <cell r="AA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I466" t="str">
            <v>ILORIN  Team 3</v>
          </cell>
          <cell r="L466">
            <v>0</v>
          </cell>
          <cell r="O466">
            <v>0</v>
          </cell>
          <cell r="R466">
            <v>0</v>
          </cell>
          <cell r="X466">
            <v>0</v>
          </cell>
          <cell r="AA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I467" t="str">
            <v>ILORIN  Team 4</v>
          </cell>
          <cell r="L467">
            <v>0</v>
          </cell>
          <cell r="O467">
            <v>0</v>
          </cell>
          <cell r="R467">
            <v>0</v>
          </cell>
          <cell r="X467">
            <v>0</v>
          </cell>
          <cell r="AA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I468" t="str">
            <v>BENIN 1 Team 1</v>
          </cell>
          <cell r="L468">
            <v>7</v>
          </cell>
          <cell r="O468">
            <v>33.466999999999999</v>
          </cell>
          <cell r="R468">
            <v>32.5</v>
          </cell>
          <cell r="X468">
            <v>0</v>
          </cell>
          <cell r="AA468">
            <v>27</v>
          </cell>
          <cell r="AC468">
            <v>907875.48</v>
          </cell>
          <cell r="AD468">
            <v>907875.48</v>
          </cell>
          <cell r="AE468">
            <v>0</v>
          </cell>
        </row>
        <row r="469">
          <cell r="I469" t="str">
            <v>BENIN 1 Team 2</v>
          </cell>
          <cell r="L469">
            <v>7</v>
          </cell>
          <cell r="O469">
            <v>32</v>
          </cell>
          <cell r="R469">
            <v>32.5</v>
          </cell>
          <cell r="X469">
            <v>0</v>
          </cell>
          <cell r="AA469">
            <v>27</v>
          </cell>
          <cell r="AC469">
            <v>892560</v>
          </cell>
          <cell r="AD469">
            <v>892560</v>
          </cell>
          <cell r="AE469">
            <v>0</v>
          </cell>
        </row>
        <row r="470">
          <cell r="I470" t="str">
            <v>BENIN 1 Team 3</v>
          </cell>
          <cell r="L470">
            <v>0</v>
          </cell>
          <cell r="O470">
            <v>0</v>
          </cell>
          <cell r="R470">
            <v>0</v>
          </cell>
          <cell r="X470">
            <v>0</v>
          </cell>
          <cell r="AA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I471" t="str">
            <v>BENIN 1 Team 4</v>
          </cell>
          <cell r="L471">
            <v>0</v>
          </cell>
          <cell r="O471">
            <v>0</v>
          </cell>
          <cell r="R471">
            <v>0</v>
          </cell>
          <cell r="X471">
            <v>0</v>
          </cell>
          <cell r="AA471">
            <v>0</v>
          </cell>
          <cell r="AC471">
            <v>0</v>
          </cell>
          <cell r="AD471">
            <v>0</v>
          </cell>
          <cell r="AE471">
            <v>0</v>
          </cell>
        </row>
        <row r="472">
          <cell r="I472" t="str">
            <v>BENIN II Team 1</v>
          </cell>
          <cell r="L472">
            <v>7</v>
          </cell>
          <cell r="O472">
            <v>60.5</v>
          </cell>
          <cell r="R472">
            <v>42</v>
          </cell>
          <cell r="X472">
            <v>0</v>
          </cell>
          <cell r="AA472">
            <v>30.335999999999999</v>
          </cell>
          <cell r="AC472">
            <v>1324916.6399999999</v>
          </cell>
          <cell r="AD472">
            <v>1324916.6399999999</v>
          </cell>
          <cell r="AE472">
            <v>0</v>
          </cell>
        </row>
        <row r="473">
          <cell r="I473" t="str">
            <v>BENIN II Team 2</v>
          </cell>
          <cell r="L473">
            <v>7</v>
          </cell>
          <cell r="O473">
            <v>60.5</v>
          </cell>
          <cell r="R473">
            <v>40</v>
          </cell>
          <cell r="X473">
            <v>0</v>
          </cell>
          <cell r="AA473">
            <v>30.5</v>
          </cell>
          <cell r="AC473">
            <v>1301940</v>
          </cell>
          <cell r="AD473">
            <v>1301940</v>
          </cell>
          <cell r="AE473">
            <v>0</v>
          </cell>
        </row>
        <row r="474">
          <cell r="I474" t="str">
            <v>BENIN II Team 3</v>
          </cell>
          <cell r="L474">
            <v>0</v>
          </cell>
          <cell r="O474">
            <v>0</v>
          </cell>
          <cell r="R474">
            <v>0</v>
          </cell>
          <cell r="X474">
            <v>0</v>
          </cell>
          <cell r="AA474">
            <v>0</v>
          </cell>
          <cell r="AC474">
            <v>0</v>
          </cell>
          <cell r="AD474">
            <v>0</v>
          </cell>
          <cell r="AE474">
            <v>0</v>
          </cell>
        </row>
        <row r="475">
          <cell r="I475" t="str">
            <v>BENIN II Team 4</v>
          </cell>
          <cell r="L475">
            <v>0</v>
          </cell>
          <cell r="O475">
            <v>0</v>
          </cell>
          <cell r="R475">
            <v>0</v>
          </cell>
          <cell r="X475">
            <v>0</v>
          </cell>
          <cell r="AA475">
            <v>0</v>
          </cell>
          <cell r="AC475">
            <v>0</v>
          </cell>
          <cell r="AD475">
            <v>0</v>
          </cell>
          <cell r="AE475">
            <v>0</v>
          </cell>
        </row>
        <row r="476">
          <cell r="I476" t="str">
            <v>AKURE 1(Ado-Ekiti/Ondo) Team 1</v>
          </cell>
          <cell r="L476">
            <v>10</v>
          </cell>
          <cell r="O476">
            <v>15</v>
          </cell>
          <cell r="R476">
            <v>10</v>
          </cell>
          <cell r="X476">
            <v>17.492000000000001</v>
          </cell>
          <cell r="AA476">
            <v>20</v>
          </cell>
          <cell r="AC476">
            <v>519995.76</v>
          </cell>
          <cell r="AD476">
            <v>519995.76</v>
          </cell>
          <cell r="AE476">
            <v>0</v>
          </cell>
        </row>
        <row r="477">
          <cell r="I477" t="str">
            <v>AKURE 1(Ado-Ekiti/Ondo) Team 2</v>
          </cell>
          <cell r="L477">
            <v>5</v>
          </cell>
          <cell r="O477">
            <v>5.5</v>
          </cell>
          <cell r="R477">
            <v>6.5</v>
          </cell>
          <cell r="X477">
            <v>13.454000000000001</v>
          </cell>
          <cell r="AA477">
            <v>14</v>
          </cell>
          <cell r="AC477">
            <v>313998.12</v>
          </cell>
          <cell r="AD477">
            <v>313998.12</v>
          </cell>
          <cell r="AE477">
            <v>0</v>
          </cell>
        </row>
        <row r="478">
          <cell r="I478" t="str">
            <v>AKURE 1(Ado-Ekiti/Ondo) Team 3</v>
          </cell>
          <cell r="L478">
            <v>0</v>
          </cell>
          <cell r="O478">
            <v>0</v>
          </cell>
          <cell r="R478">
            <v>0</v>
          </cell>
          <cell r="X478">
            <v>0</v>
          </cell>
          <cell r="AA478">
            <v>0</v>
          </cell>
          <cell r="AC478">
            <v>0</v>
          </cell>
          <cell r="AD478">
            <v>0</v>
          </cell>
          <cell r="AE478">
            <v>0</v>
          </cell>
        </row>
        <row r="479">
          <cell r="I479" t="str">
            <v>AKURE 1(Ado-Ekiti/Ondo) Team 4</v>
          </cell>
          <cell r="L479">
            <v>0</v>
          </cell>
          <cell r="O479">
            <v>0</v>
          </cell>
          <cell r="R479">
            <v>0</v>
          </cell>
          <cell r="X479">
            <v>0</v>
          </cell>
          <cell r="AA479">
            <v>0</v>
          </cell>
          <cell r="AC479">
            <v>0</v>
          </cell>
          <cell r="AD479">
            <v>0</v>
          </cell>
          <cell r="AE479">
            <v>0</v>
          </cell>
        </row>
        <row r="480">
          <cell r="I480" t="str">
            <v>AKURE II Team 1</v>
          </cell>
          <cell r="L480">
            <v>7</v>
          </cell>
          <cell r="O480">
            <v>7.0439999999999996</v>
          </cell>
          <cell r="R480">
            <v>10</v>
          </cell>
          <cell r="X480">
            <v>39.68</v>
          </cell>
          <cell r="AA480">
            <v>6</v>
          </cell>
          <cell r="AC480">
            <v>500009.76</v>
          </cell>
          <cell r="AD480">
            <v>500009.76</v>
          </cell>
          <cell r="AE480">
            <v>0</v>
          </cell>
        </row>
        <row r="481">
          <cell r="I481" t="str">
            <v>AKURE II Team 2</v>
          </cell>
          <cell r="L481">
            <v>0</v>
          </cell>
          <cell r="O481">
            <v>0</v>
          </cell>
          <cell r="R481">
            <v>0</v>
          </cell>
          <cell r="X481">
            <v>0</v>
          </cell>
          <cell r="AA481">
            <v>0</v>
          </cell>
          <cell r="AC481">
            <v>0</v>
          </cell>
          <cell r="AD481">
            <v>0</v>
          </cell>
          <cell r="AE481">
            <v>0</v>
          </cell>
        </row>
        <row r="482">
          <cell r="I482" t="str">
            <v>AKURE II Team 3</v>
          </cell>
          <cell r="L482">
            <v>0</v>
          </cell>
          <cell r="O482">
            <v>0</v>
          </cell>
          <cell r="R482">
            <v>0</v>
          </cell>
          <cell r="X482">
            <v>0</v>
          </cell>
          <cell r="AA482">
            <v>0</v>
          </cell>
          <cell r="AC482">
            <v>0</v>
          </cell>
          <cell r="AD482">
            <v>0</v>
          </cell>
          <cell r="AE482">
            <v>0</v>
          </cell>
        </row>
        <row r="483">
          <cell r="I483" t="str">
            <v>AKURE II Team 4</v>
          </cell>
          <cell r="L483">
            <v>0</v>
          </cell>
          <cell r="O483">
            <v>0</v>
          </cell>
          <cell r="R483">
            <v>0</v>
          </cell>
          <cell r="X483">
            <v>0</v>
          </cell>
          <cell r="AA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I484" t="str">
            <v>WARRI Team 1</v>
          </cell>
          <cell r="L484">
            <v>10</v>
          </cell>
          <cell r="O484">
            <v>13</v>
          </cell>
          <cell r="R484">
            <v>20</v>
          </cell>
          <cell r="X484">
            <v>41.646000000000001</v>
          </cell>
          <cell r="AA484">
            <v>8</v>
          </cell>
          <cell r="AC484">
            <v>707999.88</v>
          </cell>
          <cell r="AD484">
            <v>707999.88</v>
          </cell>
          <cell r="AE484">
            <v>0</v>
          </cell>
        </row>
        <row r="485">
          <cell r="I485" t="str">
            <v>WARRI Team 2</v>
          </cell>
          <cell r="L485">
            <v>0</v>
          </cell>
          <cell r="O485">
            <v>0</v>
          </cell>
          <cell r="R485">
            <v>0</v>
          </cell>
          <cell r="X485">
            <v>0</v>
          </cell>
          <cell r="AA485">
            <v>0</v>
          </cell>
          <cell r="AC485">
            <v>0</v>
          </cell>
          <cell r="AD485">
            <v>0</v>
          </cell>
          <cell r="AE485">
            <v>0</v>
          </cell>
        </row>
        <row r="486">
          <cell r="I486" t="str">
            <v>WARRI Team 3</v>
          </cell>
          <cell r="L486">
            <v>0</v>
          </cell>
          <cell r="O486">
            <v>0</v>
          </cell>
          <cell r="R486">
            <v>0</v>
          </cell>
          <cell r="X486">
            <v>0</v>
          </cell>
          <cell r="AA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I487" t="str">
            <v>WARRI Team 4</v>
          </cell>
          <cell r="L487">
            <v>0</v>
          </cell>
          <cell r="O487">
            <v>0</v>
          </cell>
          <cell r="R487">
            <v>0</v>
          </cell>
          <cell r="X487">
            <v>0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I488" t="str">
            <v>Enugu Team 1</v>
          </cell>
          <cell r="L488">
            <v>0</v>
          </cell>
          <cell r="O488">
            <v>0</v>
          </cell>
          <cell r="R488">
            <v>0</v>
          </cell>
          <cell r="U488">
            <v>0</v>
          </cell>
          <cell r="X488">
            <v>0</v>
          </cell>
          <cell r="AA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I489" t="str">
            <v>Enugu Team 2</v>
          </cell>
          <cell r="L489">
            <v>0</v>
          </cell>
          <cell r="O489">
            <v>0</v>
          </cell>
          <cell r="R489">
            <v>0</v>
          </cell>
          <cell r="U489">
            <v>0</v>
          </cell>
          <cell r="X489">
            <v>0</v>
          </cell>
          <cell r="AA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I490" t="str">
            <v>Enugu Team 3</v>
          </cell>
          <cell r="L490">
            <v>0</v>
          </cell>
          <cell r="O490">
            <v>0</v>
          </cell>
          <cell r="R490">
            <v>0</v>
          </cell>
          <cell r="U490">
            <v>0</v>
          </cell>
          <cell r="X490">
            <v>0</v>
          </cell>
          <cell r="AA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I491" t="str">
            <v>Enugu Team 4</v>
          </cell>
          <cell r="L491">
            <v>0</v>
          </cell>
          <cell r="O491">
            <v>0</v>
          </cell>
          <cell r="R491">
            <v>0</v>
          </cell>
          <cell r="U491">
            <v>0</v>
          </cell>
          <cell r="X491">
            <v>0</v>
          </cell>
          <cell r="AA491">
            <v>0</v>
          </cell>
          <cell r="AC491">
            <v>0</v>
          </cell>
          <cell r="AD491">
            <v>0</v>
          </cell>
          <cell r="AE491">
            <v>0</v>
          </cell>
        </row>
        <row r="492">
          <cell r="I492" t="str">
            <v>Abakaliki Team 1</v>
          </cell>
          <cell r="L492">
            <v>0</v>
          </cell>
          <cell r="O492">
            <v>0</v>
          </cell>
          <cell r="R492">
            <v>0</v>
          </cell>
          <cell r="U492">
            <v>0</v>
          </cell>
          <cell r="X492">
            <v>0</v>
          </cell>
          <cell r="AA492">
            <v>0</v>
          </cell>
          <cell r="AC492">
            <v>0</v>
          </cell>
          <cell r="AD492">
            <v>0</v>
          </cell>
          <cell r="AE492">
            <v>0</v>
          </cell>
        </row>
        <row r="493">
          <cell r="I493" t="str">
            <v>Abakaliki Team 2</v>
          </cell>
          <cell r="L493">
            <v>0</v>
          </cell>
          <cell r="O493">
            <v>0</v>
          </cell>
          <cell r="R493">
            <v>0</v>
          </cell>
          <cell r="U493">
            <v>0</v>
          </cell>
          <cell r="X493">
            <v>0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</row>
        <row r="494">
          <cell r="I494" t="str">
            <v>Abakaliki Team 3</v>
          </cell>
          <cell r="L494">
            <v>0</v>
          </cell>
          <cell r="O494">
            <v>0</v>
          </cell>
          <cell r="R494">
            <v>0</v>
          </cell>
          <cell r="U494">
            <v>0</v>
          </cell>
          <cell r="X494">
            <v>0</v>
          </cell>
          <cell r="AA494">
            <v>0</v>
          </cell>
          <cell r="AC494">
            <v>0</v>
          </cell>
          <cell r="AD494">
            <v>0</v>
          </cell>
          <cell r="AE494">
            <v>0</v>
          </cell>
        </row>
        <row r="495">
          <cell r="I495" t="str">
            <v>Abakaliki Team 4</v>
          </cell>
          <cell r="L495">
            <v>0</v>
          </cell>
          <cell r="O495">
            <v>0</v>
          </cell>
          <cell r="R495">
            <v>0</v>
          </cell>
          <cell r="U495">
            <v>0</v>
          </cell>
          <cell r="X495">
            <v>0</v>
          </cell>
          <cell r="AA495">
            <v>0</v>
          </cell>
          <cell r="AC495">
            <v>0</v>
          </cell>
          <cell r="AD495">
            <v>0</v>
          </cell>
          <cell r="AE495">
            <v>0</v>
          </cell>
        </row>
        <row r="496">
          <cell r="I496" t="str">
            <v>Onitsha Team 1</v>
          </cell>
          <cell r="L496">
            <v>0</v>
          </cell>
          <cell r="O496">
            <v>0</v>
          </cell>
          <cell r="R496">
            <v>0</v>
          </cell>
          <cell r="U496">
            <v>0</v>
          </cell>
          <cell r="X496">
            <v>0</v>
          </cell>
          <cell r="AA496">
            <v>0</v>
          </cell>
          <cell r="AC496">
            <v>0</v>
          </cell>
          <cell r="AD496">
            <v>0</v>
          </cell>
          <cell r="AE496">
            <v>0</v>
          </cell>
        </row>
        <row r="497">
          <cell r="I497" t="str">
            <v>Onitsha Team 2</v>
          </cell>
          <cell r="L497">
            <v>0</v>
          </cell>
          <cell r="O497">
            <v>0</v>
          </cell>
          <cell r="R497">
            <v>0</v>
          </cell>
          <cell r="U497">
            <v>0</v>
          </cell>
          <cell r="X497">
            <v>0</v>
          </cell>
          <cell r="AA497">
            <v>0</v>
          </cell>
          <cell r="AC497">
            <v>0</v>
          </cell>
          <cell r="AD497">
            <v>0</v>
          </cell>
          <cell r="AE497">
            <v>0</v>
          </cell>
        </row>
        <row r="498">
          <cell r="I498" t="str">
            <v>Onitsha Team 3</v>
          </cell>
          <cell r="L498">
            <v>0</v>
          </cell>
          <cell r="O498">
            <v>0</v>
          </cell>
          <cell r="R498">
            <v>0</v>
          </cell>
          <cell r="U498">
            <v>0</v>
          </cell>
          <cell r="X498">
            <v>0</v>
          </cell>
          <cell r="AA498">
            <v>0</v>
          </cell>
          <cell r="AC498">
            <v>0</v>
          </cell>
          <cell r="AD498">
            <v>0</v>
          </cell>
          <cell r="AE498">
            <v>0</v>
          </cell>
        </row>
        <row r="499">
          <cell r="I499" t="str">
            <v>Onitsha Team 4</v>
          </cell>
          <cell r="L499">
            <v>0</v>
          </cell>
          <cell r="O499">
            <v>0</v>
          </cell>
          <cell r="R499">
            <v>0</v>
          </cell>
          <cell r="U499">
            <v>0</v>
          </cell>
          <cell r="X499">
            <v>0</v>
          </cell>
          <cell r="AA499">
            <v>0</v>
          </cell>
          <cell r="AC499">
            <v>0</v>
          </cell>
          <cell r="AD499">
            <v>0</v>
          </cell>
          <cell r="AE499">
            <v>0</v>
          </cell>
        </row>
        <row r="500">
          <cell r="I500" t="str">
            <v>ASABA Team 1</v>
          </cell>
          <cell r="L500">
            <v>10</v>
          </cell>
          <cell r="O500">
            <v>48.5</v>
          </cell>
          <cell r="R500">
            <v>85</v>
          </cell>
          <cell r="U500">
            <v>380</v>
          </cell>
          <cell r="X500">
            <v>25</v>
          </cell>
          <cell r="AA500">
            <v>20</v>
          </cell>
          <cell r="AC500">
            <v>3006240</v>
          </cell>
          <cell r="AD500">
            <v>3006240</v>
          </cell>
          <cell r="AE500">
            <v>0</v>
          </cell>
        </row>
        <row r="501">
          <cell r="I501" t="str">
            <v>ASABA Team 2</v>
          </cell>
          <cell r="L501">
            <v>0</v>
          </cell>
          <cell r="O501">
            <v>0</v>
          </cell>
          <cell r="R501">
            <v>0</v>
          </cell>
          <cell r="U501">
            <v>0</v>
          </cell>
          <cell r="X501">
            <v>0</v>
          </cell>
          <cell r="AA501">
            <v>0</v>
          </cell>
          <cell r="AC501">
            <v>0</v>
          </cell>
          <cell r="AD501">
            <v>0</v>
          </cell>
          <cell r="AE501">
            <v>0</v>
          </cell>
        </row>
        <row r="502">
          <cell r="I502" t="str">
            <v>ASABA Team 3</v>
          </cell>
          <cell r="L502">
            <v>0</v>
          </cell>
          <cell r="O502">
            <v>0</v>
          </cell>
          <cell r="R502">
            <v>0</v>
          </cell>
          <cell r="U502">
            <v>0</v>
          </cell>
          <cell r="X502">
            <v>0</v>
          </cell>
          <cell r="AA502">
            <v>0</v>
          </cell>
          <cell r="AC502">
            <v>0</v>
          </cell>
          <cell r="AD502">
            <v>0</v>
          </cell>
          <cell r="AE502">
            <v>0</v>
          </cell>
        </row>
        <row r="503">
          <cell r="I503" t="str">
            <v>ASABA Team 4</v>
          </cell>
          <cell r="L503">
            <v>0</v>
          </cell>
          <cell r="O503">
            <v>0</v>
          </cell>
          <cell r="R503">
            <v>0</v>
          </cell>
          <cell r="U503">
            <v>0</v>
          </cell>
          <cell r="X503">
            <v>0</v>
          </cell>
          <cell r="AA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I504" t="str">
            <v>OWERRI Team 1</v>
          </cell>
          <cell r="L504">
            <v>0</v>
          </cell>
          <cell r="O504">
            <v>0</v>
          </cell>
          <cell r="R504">
            <v>0</v>
          </cell>
          <cell r="U504">
            <v>0</v>
          </cell>
          <cell r="X504">
            <v>0</v>
          </cell>
          <cell r="AA504">
            <v>0</v>
          </cell>
          <cell r="AC504">
            <v>0</v>
          </cell>
          <cell r="AD504">
            <v>0</v>
          </cell>
          <cell r="AE504">
            <v>0</v>
          </cell>
        </row>
        <row r="505">
          <cell r="I505" t="str">
            <v>OWERRI Team 2</v>
          </cell>
          <cell r="L505">
            <v>0</v>
          </cell>
          <cell r="O505">
            <v>0</v>
          </cell>
          <cell r="R505">
            <v>0</v>
          </cell>
          <cell r="U505">
            <v>0</v>
          </cell>
          <cell r="X505">
            <v>0</v>
          </cell>
          <cell r="AA505">
            <v>0</v>
          </cell>
          <cell r="AC505">
            <v>0</v>
          </cell>
          <cell r="AD505">
            <v>0</v>
          </cell>
          <cell r="AE505">
            <v>0</v>
          </cell>
        </row>
        <row r="506">
          <cell r="I506" t="str">
            <v>OWERRI Team 3</v>
          </cell>
          <cell r="L506">
            <v>0</v>
          </cell>
          <cell r="O506">
            <v>0</v>
          </cell>
          <cell r="R506">
            <v>0</v>
          </cell>
          <cell r="U506">
            <v>0</v>
          </cell>
          <cell r="X506">
            <v>0</v>
          </cell>
          <cell r="AA506">
            <v>0</v>
          </cell>
          <cell r="AC506">
            <v>0</v>
          </cell>
          <cell r="AD506">
            <v>0</v>
          </cell>
          <cell r="AE506">
            <v>0</v>
          </cell>
        </row>
        <row r="507">
          <cell r="I507" t="str">
            <v>OWERRI Team 4</v>
          </cell>
          <cell r="L507">
            <v>0</v>
          </cell>
          <cell r="O507">
            <v>0</v>
          </cell>
          <cell r="R507">
            <v>0</v>
          </cell>
          <cell r="U507">
            <v>0</v>
          </cell>
          <cell r="X507">
            <v>0</v>
          </cell>
          <cell r="AA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I508" t="str">
            <v>ABA Team 1</v>
          </cell>
          <cell r="L508">
            <v>0</v>
          </cell>
          <cell r="O508">
            <v>0</v>
          </cell>
          <cell r="R508">
            <v>0</v>
          </cell>
          <cell r="U508">
            <v>0</v>
          </cell>
          <cell r="X508">
            <v>0</v>
          </cell>
          <cell r="AA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I509" t="str">
            <v>ABA Team 2</v>
          </cell>
          <cell r="L509">
            <v>0</v>
          </cell>
          <cell r="O509">
            <v>0</v>
          </cell>
          <cell r="R509">
            <v>0</v>
          </cell>
          <cell r="U509">
            <v>0</v>
          </cell>
          <cell r="X509">
            <v>0</v>
          </cell>
          <cell r="AA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I510" t="str">
            <v>ABA Team 3</v>
          </cell>
          <cell r="L510">
            <v>0</v>
          </cell>
          <cell r="O510">
            <v>0</v>
          </cell>
          <cell r="R510">
            <v>0</v>
          </cell>
          <cell r="U510">
            <v>0</v>
          </cell>
          <cell r="X510">
            <v>0</v>
          </cell>
          <cell r="AA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I511" t="str">
            <v>ABA Team 4</v>
          </cell>
          <cell r="L511">
            <v>0</v>
          </cell>
          <cell r="O511">
            <v>0</v>
          </cell>
          <cell r="R511">
            <v>0</v>
          </cell>
          <cell r="U511">
            <v>0</v>
          </cell>
          <cell r="X511">
            <v>0</v>
          </cell>
          <cell r="AA511">
            <v>0</v>
          </cell>
          <cell r="AC511">
            <v>0</v>
          </cell>
          <cell r="AD511">
            <v>0</v>
          </cell>
          <cell r="AE511">
            <v>0</v>
          </cell>
        </row>
        <row r="512">
          <cell r="I512" t="str">
            <v>PHC 1 Team 1</v>
          </cell>
          <cell r="L512">
            <v>8</v>
          </cell>
          <cell r="O512">
            <v>0</v>
          </cell>
          <cell r="R512">
            <v>40</v>
          </cell>
          <cell r="U512">
            <v>0</v>
          </cell>
          <cell r="X512">
            <v>28</v>
          </cell>
          <cell r="AA512">
            <v>43.5</v>
          </cell>
          <cell r="AC512">
            <v>941280</v>
          </cell>
          <cell r="AD512">
            <v>941280</v>
          </cell>
          <cell r="AE512">
            <v>0</v>
          </cell>
        </row>
        <row r="513">
          <cell r="I513" t="str">
            <v>PHC 1 Team 2</v>
          </cell>
          <cell r="L513">
            <v>8</v>
          </cell>
          <cell r="O513">
            <v>0</v>
          </cell>
          <cell r="R513">
            <v>33</v>
          </cell>
          <cell r="U513">
            <v>0</v>
          </cell>
          <cell r="X513">
            <v>15</v>
          </cell>
          <cell r="AA513">
            <v>30.1</v>
          </cell>
          <cell r="AC513">
            <v>685524</v>
          </cell>
          <cell r="AD513">
            <v>685524</v>
          </cell>
          <cell r="AE513">
            <v>0</v>
          </cell>
        </row>
        <row r="514">
          <cell r="I514" t="str">
            <v>PHC 1 Team 3</v>
          </cell>
          <cell r="L514">
            <v>0</v>
          </cell>
          <cell r="O514">
            <v>0</v>
          </cell>
          <cell r="R514">
            <v>0</v>
          </cell>
          <cell r="U514">
            <v>0</v>
          </cell>
          <cell r="X514">
            <v>0</v>
          </cell>
          <cell r="AA514">
            <v>0</v>
          </cell>
          <cell r="AC514">
            <v>0</v>
          </cell>
          <cell r="AD514">
            <v>0</v>
          </cell>
          <cell r="AE514">
            <v>0</v>
          </cell>
        </row>
        <row r="515">
          <cell r="I515" t="str">
            <v>PHC 1 Team 4</v>
          </cell>
          <cell r="L515">
            <v>0</v>
          </cell>
          <cell r="O515">
            <v>0</v>
          </cell>
          <cell r="R515">
            <v>0</v>
          </cell>
          <cell r="U515">
            <v>0</v>
          </cell>
          <cell r="X515">
            <v>0</v>
          </cell>
          <cell r="AA515">
            <v>0</v>
          </cell>
          <cell r="AC515">
            <v>0</v>
          </cell>
          <cell r="AD515">
            <v>0</v>
          </cell>
          <cell r="AE515">
            <v>0</v>
          </cell>
        </row>
        <row r="516">
          <cell r="I516" t="str">
            <v>PHC 2 Team 1</v>
          </cell>
          <cell r="L516">
            <v>6</v>
          </cell>
          <cell r="O516">
            <v>5</v>
          </cell>
          <cell r="R516">
            <v>18.899999999999999</v>
          </cell>
          <cell r="U516">
            <v>300</v>
          </cell>
          <cell r="X516">
            <v>31</v>
          </cell>
          <cell r="AA516">
            <v>0</v>
          </cell>
          <cell r="AC516">
            <v>1425180</v>
          </cell>
          <cell r="AD516">
            <v>1425180</v>
          </cell>
          <cell r="AE516">
            <v>0</v>
          </cell>
        </row>
        <row r="517">
          <cell r="I517" t="str">
            <v>PHC 2 Team 2</v>
          </cell>
          <cell r="L517">
            <v>5</v>
          </cell>
          <cell r="O517">
            <v>6</v>
          </cell>
          <cell r="R517">
            <v>16</v>
          </cell>
          <cell r="U517">
            <v>297.89999999999998</v>
          </cell>
          <cell r="X517">
            <v>32.5</v>
          </cell>
          <cell r="AA517">
            <v>0</v>
          </cell>
          <cell r="AC517">
            <v>1404438</v>
          </cell>
          <cell r="AD517">
            <v>1404438</v>
          </cell>
          <cell r="AE517">
            <v>0</v>
          </cell>
        </row>
        <row r="518">
          <cell r="I518" t="str">
            <v>PHC 2 Team 3</v>
          </cell>
          <cell r="L518">
            <v>0</v>
          </cell>
          <cell r="O518">
            <v>0</v>
          </cell>
          <cell r="R518">
            <v>0</v>
          </cell>
          <cell r="U518">
            <v>0</v>
          </cell>
          <cell r="X518">
            <v>0</v>
          </cell>
          <cell r="AA518">
            <v>0</v>
          </cell>
          <cell r="AC518">
            <v>0</v>
          </cell>
          <cell r="AD518">
            <v>0</v>
          </cell>
          <cell r="AE518">
            <v>0</v>
          </cell>
        </row>
        <row r="519">
          <cell r="I519" t="str">
            <v>PHC 2 Team 4</v>
          </cell>
          <cell r="L519">
            <v>0</v>
          </cell>
          <cell r="O519">
            <v>0</v>
          </cell>
          <cell r="R519">
            <v>0</v>
          </cell>
          <cell r="U519">
            <v>0</v>
          </cell>
          <cell r="X519">
            <v>0</v>
          </cell>
          <cell r="AA519">
            <v>0</v>
          </cell>
          <cell r="AC519">
            <v>0</v>
          </cell>
          <cell r="AD519">
            <v>0</v>
          </cell>
          <cell r="AE519">
            <v>0</v>
          </cell>
        </row>
        <row r="520">
          <cell r="I520" t="str">
            <v>BAYELSA Team 1</v>
          </cell>
          <cell r="L520">
            <v>13</v>
          </cell>
          <cell r="O520">
            <v>97</v>
          </cell>
          <cell r="R520">
            <v>39</v>
          </cell>
          <cell r="U520">
            <v>194.9</v>
          </cell>
          <cell r="X520">
            <v>48</v>
          </cell>
          <cell r="AA520">
            <v>98</v>
          </cell>
          <cell r="AC520">
            <v>3025728</v>
          </cell>
          <cell r="AD520">
            <v>3025728</v>
          </cell>
          <cell r="AE520">
            <v>0</v>
          </cell>
        </row>
        <row r="521">
          <cell r="I521" t="str">
            <v>BAYELSA Team 2</v>
          </cell>
          <cell r="L521">
            <v>3</v>
          </cell>
          <cell r="O521">
            <v>16.899999999999999</v>
          </cell>
          <cell r="R521">
            <v>0</v>
          </cell>
          <cell r="U521">
            <v>44.1</v>
          </cell>
          <cell r="X521">
            <v>11</v>
          </cell>
          <cell r="AA521">
            <v>23</v>
          </cell>
          <cell r="AC521">
            <v>532128</v>
          </cell>
          <cell r="AD521">
            <v>532128</v>
          </cell>
          <cell r="AE521">
            <v>0</v>
          </cell>
        </row>
        <row r="522">
          <cell r="I522" t="str">
            <v>BAYELSA Team 3</v>
          </cell>
          <cell r="L522">
            <v>0</v>
          </cell>
          <cell r="O522">
            <v>0</v>
          </cell>
          <cell r="R522">
            <v>0</v>
          </cell>
          <cell r="U522">
            <v>0</v>
          </cell>
          <cell r="X522">
            <v>0</v>
          </cell>
          <cell r="AA522">
            <v>0</v>
          </cell>
          <cell r="AC522">
            <v>0</v>
          </cell>
          <cell r="AD522">
            <v>0</v>
          </cell>
          <cell r="AE522">
            <v>0</v>
          </cell>
        </row>
        <row r="523">
          <cell r="I523" t="str">
            <v>BAYELSA Team 4</v>
          </cell>
          <cell r="L523">
            <v>0</v>
          </cell>
          <cell r="O523">
            <v>0</v>
          </cell>
          <cell r="R523">
            <v>0</v>
          </cell>
          <cell r="U523">
            <v>0</v>
          </cell>
          <cell r="X523">
            <v>0</v>
          </cell>
          <cell r="AA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I524" t="str">
            <v>UYO Team 1</v>
          </cell>
          <cell r="L524">
            <v>10</v>
          </cell>
          <cell r="O524">
            <v>22.4</v>
          </cell>
          <cell r="R524">
            <v>26</v>
          </cell>
          <cell r="U524">
            <v>119</v>
          </cell>
          <cell r="X524">
            <v>19</v>
          </cell>
          <cell r="AA524">
            <v>35</v>
          </cell>
          <cell r="AC524">
            <v>1264356</v>
          </cell>
          <cell r="AD524">
            <v>1264356</v>
          </cell>
          <cell r="AE524">
            <v>0</v>
          </cell>
        </row>
        <row r="525">
          <cell r="I525" t="str">
            <v>UYO Team 2</v>
          </cell>
          <cell r="L525">
            <v>3</v>
          </cell>
          <cell r="O525">
            <v>20</v>
          </cell>
          <cell r="R525">
            <v>22</v>
          </cell>
          <cell r="U525">
            <v>35.1</v>
          </cell>
          <cell r="X525">
            <v>27</v>
          </cell>
          <cell r="AA525">
            <v>30</v>
          </cell>
          <cell r="AC525">
            <v>952572</v>
          </cell>
          <cell r="AD525">
            <v>952572</v>
          </cell>
          <cell r="AE525">
            <v>0</v>
          </cell>
        </row>
        <row r="526">
          <cell r="I526" t="str">
            <v>UYO Team 3</v>
          </cell>
          <cell r="L526">
            <v>0</v>
          </cell>
          <cell r="O526">
            <v>0</v>
          </cell>
          <cell r="R526">
            <v>0</v>
          </cell>
          <cell r="U526">
            <v>0</v>
          </cell>
          <cell r="X526">
            <v>0</v>
          </cell>
          <cell r="AA526">
            <v>0</v>
          </cell>
          <cell r="AC526">
            <v>0</v>
          </cell>
          <cell r="AD526">
            <v>0</v>
          </cell>
          <cell r="AE526">
            <v>0</v>
          </cell>
        </row>
        <row r="527">
          <cell r="I527" t="str">
            <v>UYO Team 4</v>
          </cell>
          <cell r="L527">
            <v>0</v>
          </cell>
          <cell r="O527">
            <v>0</v>
          </cell>
          <cell r="R527">
            <v>0</v>
          </cell>
          <cell r="U527">
            <v>0</v>
          </cell>
          <cell r="X527">
            <v>0</v>
          </cell>
          <cell r="AA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I528" t="str">
            <v>CALABAR Team 1</v>
          </cell>
          <cell r="L528">
            <v>5</v>
          </cell>
          <cell r="O528">
            <v>12</v>
          </cell>
          <cell r="R528">
            <v>9</v>
          </cell>
          <cell r="U528">
            <v>31</v>
          </cell>
          <cell r="X528">
            <v>12.4</v>
          </cell>
          <cell r="AA528">
            <v>18</v>
          </cell>
          <cell r="AC528">
            <v>526392</v>
          </cell>
          <cell r="AD528">
            <v>526392</v>
          </cell>
          <cell r="AE528">
            <v>0</v>
          </cell>
        </row>
        <row r="529">
          <cell r="I529" t="str">
            <v>CALABAR Team 2</v>
          </cell>
          <cell r="L529">
            <v>8</v>
          </cell>
          <cell r="O529">
            <v>0</v>
          </cell>
          <cell r="R529">
            <v>35.5</v>
          </cell>
          <cell r="U529">
            <v>244.9</v>
          </cell>
          <cell r="X529">
            <v>26</v>
          </cell>
          <cell r="AA529">
            <v>0</v>
          </cell>
          <cell r="AC529">
            <v>1366368</v>
          </cell>
          <cell r="AD529">
            <v>1366368</v>
          </cell>
          <cell r="AE529">
            <v>0</v>
          </cell>
        </row>
        <row r="530">
          <cell r="I530" t="str">
            <v>CALABAR Team 3</v>
          </cell>
          <cell r="L530">
            <v>8</v>
          </cell>
          <cell r="O530">
            <v>0</v>
          </cell>
          <cell r="R530">
            <v>39</v>
          </cell>
          <cell r="U530">
            <v>110</v>
          </cell>
          <cell r="X530">
            <v>34.9</v>
          </cell>
          <cell r="AA530">
            <v>0</v>
          </cell>
          <cell r="AC530">
            <v>1047822</v>
          </cell>
          <cell r="AD530">
            <v>1047822</v>
          </cell>
          <cell r="AE530">
            <v>0</v>
          </cell>
        </row>
        <row r="531">
          <cell r="I531" t="str">
            <v>CALABAR Team 4</v>
          </cell>
          <cell r="L531">
            <v>0</v>
          </cell>
          <cell r="O531">
            <v>0</v>
          </cell>
          <cell r="R531">
            <v>0</v>
          </cell>
          <cell r="U531">
            <v>0</v>
          </cell>
          <cell r="X531">
            <v>0</v>
          </cell>
          <cell r="AA531">
            <v>0</v>
          </cell>
          <cell r="AC531">
            <v>0</v>
          </cell>
          <cell r="AD531">
            <v>0</v>
          </cell>
          <cell r="AE531">
            <v>0</v>
          </cell>
        </row>
        <row r="532">
          <cell r="I532" t="str">
            <v>IBADAN I Team 1</v>
          </cell>
          <cell r="L532">
            <v>4</v>
          </cell>
          <cell r="O532">
            <v>12.5</v>
          </cell>
          <cell r="R532">
            <v>10.199999999999999</v>
          </cell>
          <cell r="X532">
            <v>12.02</v>
          </cell>
          <cell r="AA532">
            <v>20</v>
          </cell>
          <cell r="AC532">
            <v>459195.6</v>
          </cell>
          <cell r="AD532">
            <v>459195.6</v>
          </cell>
          <cell r="AE532">
            <v>0</v>
          </cell>
        </row>
        <row r="533">
          <cell r="I533" t="str">
            <v>IBADAN I Team 2</v>
          </cell>
          <cell r="L533">
            <v>4</v>
          </cell>
          <cell r="O533">
            <v>12.5</v>
          </cell>
          <cell r="R533">
            <v>10.199999999999999</v>
          </cell>
          <cell r="X533">
            <v>10.09</v>
          </cell>
          <cell r="AA533">
            <v>20</v>
          </cell>
          <cell r="AC533">
            <v>446110.2</v>
          </cell>
          <cell r="AD533">
            <v>446110.2</v>
          </cell>
          <cell r="AE533">
            <v>0</v>
          </cell>
        </row>
        <row r="534">
          <cell r="I534" t="str">
            <v>IBADAN I Team 3</v>
          </cell>
          <cell r="L534">
            <v>4</v>
          </cell>
          <cell r="O534">
            <v>12.5</v>
          </cell>
          <cell r="R534">
            <v>10.199999999999999</v>
          </cell>
          <cell r="X534">
            <v>10.09</v>
          </cell>
          <cell r="AA534">
            <v>20</v>
          </cell>
          <cell r="AC534">
            <v>446110.2</v>
          </cell>
          <cell r="AD534">
            <v>446110.2</v>
          </cell>
          <cell r="AE534">
            <v>0</v>
          </cell>
        </row>
        <row r="535">
          <cell r="I535" t="str">
            <v>IBADAN I Team 4</v>
          </cell>
          <cell r="L535">
            <v>4</v>
          </cell>
          <cell r="O535">
            <v>12.5</v>
          </cell>
          <cell r="R535">
            <v>10.199999999999999</v>
          </cell>
          <cell r="X535">
            <v>10.09</v>
          </cell>
          <cell r="AA535">
            <v>20</v>
          </cell>
          <cell r="AC535">
            <v>446110.2</v>
          </cell>
          <cell r="AD535">
            <v>446110.2</v>
          </cell>
          <cell r="AE535">
            <v>0</v>
          </cell>
        </row>
        <row r="536">
          <cell r="I536" t="str">
            <v>IBADAN II Team 1</v>
          </cell>
          <cell r="L536">
            <v>4</v>
          </cell>
          <cell r="O536">
            <v>4.2409999999999997</v>
          </cell>
          <cell r="R536">
            <v>15</v>
          </cell>
          <cell r="X536">
            <v>5.5</v>
          </cell>
          <cell r="AA536">
            <v>5.5</v>
          </cell>
          <cell r="AC536">
            <v>295886.03999999998</v>
          </cell>
          <cell r="AD536">
            <v>295886.03999999998</v>
          </cell>
          <cell r="AE536">
            <v>0</v>
          </cell>
        </row>
        <row r="537">
          <cell r="I537" t="str">
            <v>IBADAN II Team 2</v>
          </cell>
          <cell r="L537">
            <v>4</v>
          </cell>
          <cell r="O537">
            <v>5.5</v>
          </cell>
          <cell r="R537">
            <v>20</v>
          </cell>
          <cell r="X537">
            <v>5.5</v>
          </cell>
          <cell r="AA537">
            <v>5.5</v>
          </cell>
          <cell r="AC537">
            <v>369030</v>
          </cell>
          <cell r="AD537">
            <v>369030</v>
          </cell>
          <cell r="AE537">
            <v>0</v>
          </cell>
        </row>
        <row r="538">
          <cell r="I538" t="str">
            <v>IBADAN II Team 3</v>
          </cell>
          <cell r="L538">
            <v>4</v>
          </cell>
          <cell r="O538">
            <v>5.2</v>
          </cell>
          <cell r="R538">
            <v>12</v>
          </cell>
          <cell r="X538">
            <v>10.62</v>
          </cell>
          <cell r="AA538">
            <v>7.2</v>
          </cell>
          <cell r="AC538">
            <v>315219.59999999998</v>
          </cell>
          <cell r="AD538">
            <v>315219.59999999998</v>
          </cell>
          <cell r="AE538">
            <v>0</v>
          </cell>
        </row>
        <row r="539">
          <cell r="I539" t="str">
            <v>IBADAN II Team 4</v>
          </cell>
          <cell r="L539">
            <v>4</v>
          </cell>
          <cell r="O539">
            <v>6.23</v>
          </cell>
          <cell r="R539">
            <v>14</v>
          </cell>
          <cell r="X539">
            <v>10.622999999999999</v>
          </cell>
          <cell r="AA539">
            <v>7.5</v>
          </cell>
          <cell r="AC539">
            <v>351865.14</v>
          </cell>
          <cell r="AD539">
            <v>351865.14</v>
          </cell>
          <cell r="AE539">
            <v>0</v>
          </cell>
        </row>
        <row r="540">
          <cell r="I540" t="str">
            <v>OSHOGBO Team 1</v>
          </cell>
          <cell r="L540">
            <v>5</v>
          </cell>
          <cell r="O540">
            <v>3.8875000000000002</v>
          </cell>
          <cell r="R540">
            <v>4.6459999999999999</v>
          </cell>
          <cell r="X540">
            <v>7.5664999999999996</v>
          </cell>
          <cell r="AA540">
            <v>10</v>
          </cell>
          <cell r="AC540">
            <v>210038.37</v>
          </cell>
          <cell r="AD540">
            <v>210038.37</v>
          </cell>
          <cell r="AE540">
            <v>0</v>
          </cell>
        </row>
        <row r="541">
          <cell r="I541" t="str">
            <v>OSHOGBO Team 2</v>
          </cell>
          <cell r="L541">
            <v>3</v>
          </cell>
          <cell r="O541">
            <v>3.8875000000000002</v>
          </cell>
          <cell r="R541">
            <v>4.6459999999999999</v>
          </cell>
          <cell r="X541">
            <v>7.5549999999999997</v>
          </cell>
          <cell r="AA541">
            <v>10</v>
          </cell>
          <cell r="AC541">
            <v>209960.4</v>
          </cell>
          <cell r="AD541">
            <v>209960.4</v>
          </cell>
          <cell r="AE541">
            <v>0</v>
          </cell>
        </row>
        <row r="542">
          <cell r="I542" t="str">
            <v>OSHOGBO Team 3</v>
          </cell>
          <cell r="L542">
            <v>0</v>
          </cell>
          <cell r="O542">
            <v>0</v>
          </cell>
          <cell r="R542">
            <v>0</v>
          </cell>
          <cell r="X542">
            <v>0</v>
          </cell>
          <cell r="AA542">
            <v>0</v>
          </cell>
          <cell r="AC542">
            <v>0</v>
          </cell>
          <cell r="AD542">
            <v>0</v>
          </cell>
          <cell r="AE542">
            <v>0</v>
          </cell>
        </row>
        <row r="543">
          <cell r="I543" t="str">
            <v>OSHOGBO Team 4</v>
          </cell>
          <cell r="L543">
            <v>0</v>
          </cell>
          <cell r="O543">
            <v>0</v>
          </cell>
          <cell r="R543">
            <v>0</v>
          </cell>
          <cell r="X543">
            <v>0</v>
          </cell>
          <cell r="AA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I544" t="str">
            <v>ILORIN  Team 1</v>
          </cell>
          <cell r="L544">
            <v>6</v>
          </cell>
          <cell r="O544">
            <v>5.45</v>
          </cell>
          <cell r="R544">
            <v>20</v>
          </cell>
          <cell r="X544">
            <v>20</v>
          </cell>
          <cell r="AA544">
            <v>16.010000000000002</v>
          </cell>
          <cell r="AC544">
            <v>532400.4</v>
          </cell>
          <cell r="AD544">
            <v>532400.4</v>
          </cell>
          <cell r="AE544">
            <v>0</v>
          </cell>
        </row>
        <row r="545">
          <cell r="I545" t="str">
            <v>ILORIN  Team 2</v>
          </cell>
          <cell r="L545">
            <v>0</v>
          </cell>
          <cell r="O545">
            <v>0</v>
          </cell>
          <cell r="R545">
            <v>0</v>
          </cell>
          <cell r="X545">
            <v>0</v>
          </cell>
          <cell r="AA545">
            <v>0</v>
          </cell>
          <cell r="AC545">
            <v>0</v>
          </cell>
          <cell r="AD545">
            <v>0</v>
          </cell>
          <cell r="AE545">
            <v>0</v>
          </cell>
        </row>
        <row r="546">
          <cell r="I546" t="str">
            <v>ILORIN  Team 3</v>
          </cell>
          <cell r="L546">
            <v>0</v>
          </cell>
          <cell r="O546">
            <v>0</v>
          </cell>
          <cell r="R546">
            <v>0</v>
          </cell>
          <cell r="X546">
            <v>0</v>
          </cell>
          <cell r="AA546">
            <v>0</v>
          </cell>
          <cell r="AC546">
            <v>0</v>
          </cell>
          <cell r="AD546">
            <v>0</v>
          </cell>
          <cell r="AE546">
            <v>0</v>
          </cell>
        </row>
        <row r="547">
          <cell r="I547" t="str">
            <v>ILORIN  Team 4</v>
          </cell>
          <cell r="L547">
            <v>0</v>
          </cell>
          <cell r="O547">
            <v>0</v>
          </cell>
          <cell r="R547">
            <v>0</v>
          </cell>
          <cell r="X547">
            <v>0</v>
          </cell>
          <cell r="AA547">
            <v>0</v>
          </cell>
          <cell r="AC547">
            <v>0</v>
          </cell>
          <cell r="AD547">
            <v>0</v>
          </cell>
          <cell r="AE547">
            <v>0</v>
          </cell>
        </row>
        <row r="548">
          <cell r="I548" t="str">
            <v>BENIN 1 Team 1</v>
          </cell>
          <cell r="L548">
            <v>5</v>
          </cell>
          <cell r="O548">
            <v>23</v>
          </cell>
          <cell r="R548">
            <v>22</v>
          </cell>
          <cell r="X548">
            <v>0</v>
          </cell>
          <cell r="AA548">
            <v>16.6666666666667</v>
          </cell>
          <cell r="AC548">
            <v>608120</v>
          </cell>
          <cell r="AD548">
            <v>608120</v>
          </cell>
          <cell r="AE548">
            <v>0</v>
          </cell>
        </row>
        <row r="549">
          <cell r="I549" t="str">
            <v>BENIN 1 Team 2</v>
          </cell>
          <cell r="L549">
            <v>5</v>
          </cell>
          <cell r="O549">
            <v>22</v>
          </cell>
          <cell r="R549">
            <v>22</v>
          </cell>
          <cell r="X549">
            <v>0</v>
          </cell>
          <cell r="AA549">
            <v>16.747</v>
          </cell>
          <cell r="AC549">
            <v>598181.28</v>
          </cell>
          <cell r="AD549">
            <v>598181.28</v>
          </cell>
          <cell r="AE549">
            <v>0</v>
          </cell>
        </row>
        <row r="550">
          <cell r="I550" t="str">
            <v>BENIN 1 Team 3</v>
          </cell>
          <cell r="L550">
            <v>4</v>
          </cell>
          <cell r="O550">
            <v>22</v>
          </cell>
          <cell r="R550">
            <v>22</v>
          </cell>
          <cell r="X550">
            <v>0</v>
          </cell>
          <cell r="AA550">
            <v>16.6666666666667</v>
          </cell>
          <cell r="AC550">
            <v>597680</v>
          </cell>
          <cell r="AD550">
            <v>597680</v>
          </cell>
          <cell r="AE550">
            <v>0</v>
          </cell>
        </row>
        <row r="551">
          <cell r="I551" t="str">
            <v>BENIN 1 Team 4</v>
          </cell>
          <cell r="L551">
            <v>0</v>
          </cell>
          <cell r="O551">
            <v>0</v>
          </cell>
          <cell r="R551">
            <v>0</v>
          </cell>
          <cell r="X551">
            <v>0</v>
          </cell>
          <cell r="AA551">
            <v>0</v>
          </cell>
          <cell r="AC551">
            <v>0</v>
          </cell>
          <cell r="AD551">
            <v>0</v>
          </cell>
          <cell r="AE551">
            <v>0</v>
          </cell>
        </row>
        <row r="552">
          <cell r="I552" t="str">
            <v>BENIN II Team 1</v>
          </cell>
          <cell r="L552">
            <v>7</v>
          </cell>
          <cell r="O552">
            <v>70</v>
          </cell>
          <cell r="R552">
            <v>52</v>
          </cell>
          <cell r="X552">
            <v>0</v>
          </cell>
          <cell r="AA552">
            <v>40</v>
          </cell>
          <cell r="AC552">
            <v>1604400</v>
          </cell>
          <cell r="AD552">
            <v>1604400</v>
          </cell>
          <cell r="AE552">
            <v>0</v>
          </cell>
        </row>
        <row r="553">
          <cell r="I553" t="str">
            <v>BENIN II Team 2</v>
          </cell>
          <cell r="L553">
            <v>7</v>
          </cell>
          <cell r="O553">
            <v>70</v>
          </cell>
          <cell r="R553">
            <v>45</v>
          </cell>
          <cell r="X553">
            <v>0</v>
          </cell>
          <cell r="AA553">
            <v>40.963999999999999</v>
          </cell>
          <cell r="AC553">
            <v>1526415.3600000001</v>
          </cell>
          <cell r="AD553">
            <v>1526415.3600000001</v>
          </cell>
          <cell r="AE553">
            <v>0</v>
          </cell>
        </row>
        <row r="554">
          <cell r="I554" t="str">
            <v>BENIN II Team 3</v>
          </cell>
          <cell r="L554">
            <v>0</v>
          </cell>
          <cell r="O554">
            <v>0</v>
          </cell>
          <cell r="R554">
            <v>0</v>
          </cell>
          <cell r="X554">
            <v>0</v>
          </cell>
          <cell r="AA554">
            <v>0</v>
          </cell>
          <cell r="AC554">
            <v>0</v>
          </cell>
          <cell r="AD554">
            <v>0</v>
          </cell>
          <cell r="AE554">
            <v>0</v>
          </cell>
        </row>
        <row r="555">
          <cell r="I555" t="str">
            <v>BENIN II Team 4</v>
          </cell>
          <cell r="L555">
            <v>0</v>
          </cell>
          <cell r="O555">
            <v>0</v>
          </cell>
          <cell r="R555">
            <v>0</v>
          </cell>
          <cell r="X555">
            <v>0</v>
          </cell>
          <cell r="AA555">
            <v>0</v>
          </cell>
          <cell r="AC555">
            <v>0</v>
          </cell>
          <cell r="AD555">
            <v>0</v>
          </cell>
          <cell r="AE555">
            <v>0</v>
          </cell>
        </row>
        <row r="556">
          <cell r="I556" t="str">
            <v>AKURE 1(Ado-Ekiti/Ondo) Team 1</v>
          </cell>
          <cell r="L556">
            <v>10</v>
          </cell>
          <cell r="O556">
            <v>30.41</v>
          </cell>
          <cell r="R556">
            <v>20</v>
          </cell>
          <cell r="X556">
            <v>24</v>
          </cell>
          <cell r="AA556">
            <v>20</v>
          </cell>
          <cell r="AC556">
            <v>845000.4</v>
          </cell>
          <cell r="AD556">
            <v>845000.4</v>
          </cell>
          <cell r="AE556">
            <v>0</v>
          </cell>
        </row>
        <row r="557">
          <cell r="I557" t="str">
            <v>AKURE 1(Ado-Ekiti/Ondo) Team 2</v>
          </cell>
          <cell r="L557">
            <v>5</v>
          </cell>
          <cell r="O557">
            <v>3.5</v>
          </cell>
          <cell r="R557">
            <v>6.5</v>
          </cell>
          <cell r="X557">
            <v>12.005000000000001</v>
          </cell>
          <cell r="AA557">
            <v>12.19</v>
          </cell>
          <cell r="AC557">
            <v>271999.5</v>
          </cell>
          <cell r="AD557">
            <v>271999.5</v>
          </cell>
          <cell r="AE557">
            <v>0</v>
          </cell>
        </row>
        <row r="558">
          <cell r="I558" t="str">
            <v>AKURE 1(Ado-Ekiti/Ondo) Team 3</v>
          </cell>
          <cell r="L558">
            <v>0</v>
          </cell>
          <cell r="O558">
            <v>0</v>
          </cell>
          <cell r="R558">
            <v>0</v>
          </cell>
          <cell r="X558">
            <v>0</v>
          </cell>
          <cell r="AA558">
            <v>0</v>
          </cell>
          <cell r="AC558">
            <v>0</v>
          </cell>
          <cell r="AD558">
            <v>0</v>
          </cell>
          <cell r="AE558">
            <v>0</v>
          </cell>
        </row>
        <row r="559">
          <cell r="I559" t="str">
            <v>AKURE 1(Ado-Ekiti/Ondo) Team 4</v>
          </cell>
          <cell r="L559">
            <v>0</v>
          </cell>
          <cell r="O559">
            <v>0</v>
          </cell>
          <cell r="R559">
            <v>0</v>
          </cell>
          <cell r="X559">
            <v>0</v>
          </cell>
          <cell r="AA559">
            <v>0</v>
          </cell>
          <cell r="AC559">
            <v>0</v>
          </cell>
          <cell r="AD559">
            <v>0</v>
          </cell>
          <cell r="AE559">
            <v>0</v>
          </cell>
        </row>
        <row r="560">
          <cell r="I560" t="str">
            <v>AKURE II Team 1</v>
          </cell>
          <cell r="L560">
            <v>7</v>
          </cell>
          <cell r="O560">
            <v>12</v>
          </cell>
          <cell r="R560">
            <v>14</v>
          </cell>
          <cell r="X560">
            <v>42</v>
          </cell>
          <cell r="AA560">
            <v>5.923</v>
          </cell>
          <cell r="AC560">
            <v>614999.52</v>
          </cell>
          <cell r="AD560">
            <v>614999.52</v>
          </cell>
          <cell r="AE560">
            <v>0</v>
          </cell>
        </row>
        <row r="561">
          <cell r="I561" t="str">
            <v>AKURE II Team 2</v>
          </cell>
          <cell r="L561">
            <v>0</v>
          </cell>
          <cell r="O561">
            <v>0</v>
          </cell>
          <cell r="R561">
            <v>0</v>
          </cell>
          <cell r="X561">
            <v>0</v>
          </cell>
          <cell r="AA561">
            <v>0</v>
          </cell>
          <cell r="AC561">
            <v>0</v>
          </cell>
          <cell r="AD561">
            <v>0</v>
          </cell>
          <cell r="AE561">
            <v>0</v>
          </cell>
        </row>
        <row r="562">
          <cell r="I562" t="str">
            <v>AKURE II Team 3</v>
          </cell>
          <cell r="L562">
            <v>0</v>
          </cell>
          <cell r="O562">
            <v>0</v>
          </cell>
          <cell r="R562">
            <v>0</v>
          </cell>
          <cell r="X562">
            <v>0</v>
          </cell>
          <cell r="AA562">
            <v>0</v>
          </cell>
          <cell r="AC562">
            <v>0</v>
          </cell>
          <cell r="AD562">
            <v>0</v>
          </cell>
          <cell r="AE562">
            <v>0</v>
          </cell>
        </row>
        <row r="563">
          <cell r="I563" t="str">
            <v>AKURE II Team 4</v>
          </cell>
          <cell r="L563">
            <v>0</v>
          </cell>
          <cell r="O563">
            <v>0</v>
          </cell>
          <cell r="R563">
            <v>0</v>
          </cell>
          <cell r="X563">
            <v>0</v>
          </cell>
          <cell r="AA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I564" t="str">
            <v>WARRI Team 1</v>
          </cell>
          <cell r="L564">
            <v>10</v>
          </cell>
          <cell r="O564">
            <v>0</v>
          </cell>
          <cell r="R564">
            <v>9.06</v>
          </cell>
          <cell r="X564">
            <v>0</v>
          </cell>
          <cell r="AA564">
            <v>9.5</v>
          </cell>
          <cell r="AC564">
            <v>168000</v>
          </cell>
          <cell r="AD564">
            <v>168000</v>
          </cell>
          <cell r="AE564">
            <v>0</v>
          </cell>
        </row>
        <row r="565">
          <cell r="I565" t="str">
            <v>WARRI Team 2</v>
          </cell>
          <cell r="L565">
            <v>0</v>
          </cell>
          <cell r="O565">
            <v>0</v>
          </cell>
          <cell r="R565">
            <v>0</v>
          </cell>
          <cell r="X565">
            <v>0</v>
          </cell>
          <cell r="AA565">
            <v>0</v>
          </cell>
          <cell r="AC565">
            <v>0</v>
          </cell>
          <cell r="AD565">
            <v>0</v>
          </cell>
          <cell r="AE565">
            <v>0</v>
          </cell>
        </row>
        <row r="566">
          <cell r="I566" t="str">
            <v>WARRI Team 3</v>
          </cell>
          <cell r="L566">
            <v>0</v>
          </cell>
          <cell r="O566">
            <v>0</v>
          </cell>
          <cell r="R566">
            <v>0</v>
          </cell>
          <cell r="X566">
            <v>0</v>
          </cell>
          <cell r="AA566">
            <v>0</v>
          </cell>
          <cell r="AC566">
            <v>0</v>
          </cell>
          <cell r="AD566">
            <v>0</v>
          </cell>
          <cell r="AE566">
            <v>0</v>
          </cell>
        </row>
        <row r="567">
          <cell r="I567" t="str">
            <v>WARRI Team 4</v>
          </cell>
          <cell r="L567">
            <v>0</v>
          </cell>
          <cell r="O567">
            <v>0</v>
          </cell>
          <cell r="R567">
            <v>0</v>
          </cell>
          <cell r="X567">
            <v>0</v>
          </cell>
          <cell r="AA567">
            <v>0</v>
          </cell>
          <cell r="AC567">
            <v>0</v>
          </cell>
          <cell r="AD567">
            <v>0</v>
          </cell>
          <cell r="AE567">
            <v>0</v>
          </cell>
        </row>
        <row r="568">
          <cell r="I568" t="str">
            <v>Enugu Team 1</v>
          </cell>
          <cell r="L568">
            <v>6</v>
          </cell>
          <cell r="O568">
            <v>14</v>
          </cell>
          <cell r="R568">
            <v>20</v>
          </cell>
          <cell r="U568">
            <v>10</v>
          </cell>
          <cell r="X568">
            <v>9.5</v>
          </cell>
          <cell r="AA568">
            <v>35</v>
          </cell>
          <cell r="AC568">
            <v>700170</v>
          </cell>
          <cell r="AD568">
            <v>700170</v>
          </cell>
          <cell r="AE568">
            <v>0</v>
          </cell>
        </row>
        <row r="569">
          <cell r="I569" t="str">
            <v>Enugu Team 2</v>
          </cell>
          <cell r="L569">
            <v>3</v>
          </cell>
          <cell r="O569">
            <v>4</v>
          </cell>
          <cell r="R569">
            <v>10</v>
          </cell>
          <cell r="U569">
            <v>10</v>
          </cell>
          <cell r="X569">
            <v>5</v>
          </cell>
          <cell r="AA569">
            <v>4</v>
          </cell>
          <cell r="AC569">
            <v>251820</v>
          </cell>
          <cell r="AD569">
            <v>251820</v>
          </cell>
          <cell r="AE569">
            <v>0</v>
          </cell>
        </row>
        <row r="570">
          <cell r="I570" t="str">
            <v>Enugu Team 3</v>
          </cell>
          <cell r="L570">
            <v>0</v>
          </cell>
          <cell r="O570">
            <v>0</v>
          </cell>
          <cell r="R570">
            <v>0</v>
          </cell>
          <cell r="U570">
            <v>0</v>
          </cell>
          <cell r="X570">
            <v>0</v>
          </cell>
          <cell r="AA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I571" t="str">
            <v>Enugu Team 4</v>
          </cell>
          <cell r="L571">
            <v>0</v>
          </cell>
          <cell r="O571">
            <v>0</v>
          </cell>
          <cell r="R571">
            <v>0</v>
          </cell>
          <cell r="U571">
            <v>0</v>
          </cell>
          <cell r="X571">
            <v>0</v>
          </cell>
          <cell r="AA571">
            <v>0</v>
          </cell>
          <cell r="AC571">
            <v>0</v>
          </cell>
          <cell r="AD571">
            <v>0</v>
          </cell>
          <cell r="AE571">
            <v>0</v>
          </cell>
        </row>
        <row r="572">
          <cell r="I572" t="str">
            <v>Abakaliki Team 1</v>
          </cell>
          <cell r="L572">
            <v>5</v>
          </cell>
          <cell r="O572">
            <v>12</v>
          </cell>
          <cell r="R572">
            <v>10</v>
          </cell>
          <cell r="U572">
            <v>0</v>
          </cell>
          <cell r="X572">
            <v>20.5</v>
          </cell>
          <cell r="AA572">
            <v>16</v>
          </cell>
          <cell r="AC572">
            <v>484110</v>
          </cell>
          <cell r="AD572">
            <v>484110</v>
          </cell>
          <cell r="AE572">
            <v>0</v>
          </cell>
        </row>
        <row r="573">
          <cell r="I573" t="str">
            <v>Abakaliki Team 2</v>
          </cell>
          <cell r="L573">
            <v>5</v>
          </cell>
          <cell r="O573">
            <v>15</v>
          </cell>
          <cell r="R573">
            <v>13</v>
          </cell>
          <cell r="U573">
            <v>0</v>
          </cell>
          <cell r="X573">
            <v>25</v>
          </cell>
          <cell r="AA573">
            <v>10</v>
          </cell>
          <cell r="AC573">
            <v>544500</v>
          </cell>
          <cell r="AD573">
            <v>544500</v>
          </cell>
          <cell r="AE573">
            <v>0</v>
          </cell>
        </row>
        <row r="574">
          <cell r="I574" t="str">
            <v>Abakaliki Team 3</v>
          </cell>
          <cell r="L574">
            <v>0</v>
          </cell>
          <cell r="O574">
            <v>0</v>
          </cell>
          <cell r="R574">
            <v>0</v>
          </cell>
          <cell r="U574">
            <v>0</v>
          </cell>
          <cell r="X574">
            <v>0</v>
          </cell>
          <cell r="AA574">
            <v>0</v>
          </cell>
          <cell r="AC574">
            <v>0</v>
          </cell>
          <cell r="AD574">
            <v>0</v>
          </cell>
          <cell r="AE574">
            <v>0</v>
          </cell>
        </row>
        <row r="575">
          <cell r="I575" t="str">
            <v>Abakaliki Team 4</v>
          </cell>
          <cell r="L575">
            <v>0</v>
          </cell>
          <cell r="O575">
            <v>0</v>
          </cell>
          <cell r="R575">
            <v>0</v>
          </cell>
          <cell r="U575">
            <v>0</v>
          </cell>
          <cell r="X575">
            <v>0</v>
          </cell>
          <cell r="AA575">
            <v>0</v>
          </cell>
          <cell r="AC575">
            <v>0</v>
          </cell>
          <cell r="AD575">
            <v>0</v>
          </cell>
          <cell r="AE575">
            <v>0</v>
          </cell>
        </row>
        <row r="576">
          <cell r="I576" t="str">
            <v>Onitsha Team 1</v>
          </cell>
          <cell r="L576">
            <v>8</v>
          </cell>
          <cell r="O576">
            <v>0</v>
          </cell>
          <cell r="R576">
            <v>19.3</v>
          </cell>
          <cell r="U576">
            <v>199.8</v>
          </cell>
          <cell r="X576">
            <v>0</v>
          </cell>
          <cell r="AA576">
            <v>0</v>
          </cell>
          <cell r="AC576">
            <v>854976</v>
          </cell>
          <cell r="AD576">
            <v>854976</v>
          </cell>
          <cell r="AE576">
            <v>0</v>
          </cell>
        </row>
        <row r="577">
          <cell r="I577" t="str">
            <v>Onitsha Team 2</v>
          </cell>
          <cell r="L577">
            <v>8</v>
          </cell>
          <cell r="O577">
            <v>32</v>
          </cell>
          <cell r="R577">
            <v>16</v>
          </cell>
          <cell r="U577">
            <v>20.2</v>
          </cell>
          <cell r="X577">
            <v>0</v>
          </cell>
          <cell r="AA577">
            <v>60</v>
          </cell>
          <cell r="AC577">
            <v>963504</v>
          </cell>
          <cell r="AD577">
            <v>963504</v>
          </cell>
          <cell r="AE577">
            <v>0</v>
          </cell>
        </row>
        <row r="578">
          <cell r="I578" t="str">
            <v>Onitsha Team 3</v>
          </cell>
          <cell r="L578">
            <v>8</v>
          </cell>
          <cell r="O578">
            <v>33</v>
          </cell>
          <cell r="R578">
            <v>39</v>
          </cell>
          <cell r="U578">
            <v>41.1</v>
          </cell>
          <cell r="X578">
            <v>0</v>
          </cell>
          <cell r="AA578">
            <v>66</v>
          </cell>
          <cell r="AC578">
            <v>1352592</v>
          </cell>
          <cell r="AD578">
            <v>1352592</v>
          </cell>
          <cell r="AE578">
            <v>0</v>
          </cell>
        </row>
        <row r="579">
          <cell r="I579" t="str">
            <v>Onitsha Team 4</v>
          </cell>
          <cell r="L579">
            <v>8</v>
          </cell>
          <cell r="O579">
            <v>33</v>
          </cell>
          <cell r="R579">
            <v>20</v>
          </cell>
          <cell r="U579">
            <v>14.2</v>
          </cell>
          <cell r="X579">
            <v>0</v>
          </cell>
          <cell r="AA579">
            <v>46</v>
          </cell>
          <cell r="AC579">
            <v>915864</v>
          </cell>
          <cell r="AD579">
            <v>915864</v>
          </cell>
          <cell r="AE579">
            <v>0</v>
          </cell>
        </row>
        <row r="580">
          <cell r="I580" t="str">
            <v>ASABA Team 1</v>
          </cell>
          <cell r="L580">
            <v>10</v>
          </cell>
          <cell r="O580">
            <v>20</v>
          </cell>
          <cell r="R580">
            <v>14</v>
          </cell>
          <cell r="U580">
            <v>9</v>
          </cell>
          <cell r="X580">
            <v>0</v>
          </cell>
          <cell r="AA580">
            <v>0</v>
          </cell>
          <cell r="AC580">
            <v>404880</v>
          </cell>
          <cell r="AD580">
            <v>404880</v>
          </cell>
          <cell r="AE580">
            <v>0</v>
          </cell>
        </row>
        <row r="581">
          <cell r="I581" t="str">
            <v>ASABA Team 2</v>
          </cell>
          <cell r="L581">
            <v>0</v>
          </cell>
          <cell r="O581">
            <v>0</v>
          </cell>
          <cell r="R581">
            <v>0</v>
          </cell>
          <cell r="U581">
            <v>0</v>
          </cell>
          <cell r="X581">
            <v>0</v>
          </cell>
          <cell r="AA581">
            <v>0</v>
          </cell>
          <cell r="AC581">
            <v>0</v>
          </cell>
          <cell r="AD581">
            <v>0</v>
          </cell>
          <cell r="AE581">
            <v>0</v>
          </cell>
        </row>
        <row r="582">
          <cell r="I582" t="str">
            <v>ASABA Team 3</v>
          </cell>
          <cell r="L582">
            <v>0</v>
          </cell>
          <cell r="O582">
            <v>0</v>
          </cell>
          <cell r="R582">
            <v>0</v>
          </cell>
          <cell r="U582">
            <v>0</v>
          </cell>
          <cell r="X582">
            <v>0</v>
          </cell>
          <cell r="AA582">
            <v>0</v>
          </cell>
          <cell r="AC582">
            <v>0</v>
          </cell>
          <cell r="AD582">
            <v>0</v>
          </cell>
          <cell r="AE582">
            <v>0</v>
          </cell>
        </row>
        <row r="583">
          <cell r="I583" t="str">
            <v>ASABA Team 4</v>
          </cell>
          <cell r="L583">
            <v>0</v>
          </cell>
          <cell r="O583">
            <v>0</v>
          </cell>
          <cell r="R583">
            <v>0</v>
          </cell>
          <cell r="U583">
            <v>0</v>
          </cell>
          <cell r="X583">
            <v>0</v>
          </cell>
          <cell r="AA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I584" t="str">
            <v>OWERRI Team 1</v>
          </cell>
          <cell r="L584">
            <v>8</v>
          </cell>
          <cell r="O584">
            <v>50</v>
          </cell>
          <cell r="R584">
            <v>36</v>
          </cell>
          <cell r="U584">
            <v>16</v>
          </cell>
          <cell r="X584">
            <v>10.5</v>
          </cell>
          <cell r="AA584">
            <v>4</v>
          </cell>
          <cell r="AC584">
            <v>1100070</v>
          </cell>
          <cell r="AD584">
            <v>1100070</v>
          </cell>
          <cell r="AE584">
            <v>0</v>
          </cell>
        </row>
        <row r="585">
          <cell r="I585" t="str">
            <v>OWERRI Team 2</v>
          </cell>
          <cell r="L585">
            <v>8</v>
          </cell>
          <cell r="O585">
            <v>40</v>
          </cell>
          <cell r="R585">
            <v>45</v>
          </cell>
          <cell r="U585">
            <v>20</v>
          </cell>
          <cell r="X585">
            <v>17.5</v>
          </cell>
          <cell r="AA585">
            <v>10</v>
          </cell>
          <cell r="AC585">
            <v>1201050</v>
          </cell>
          <cell r="AD585">
            <v>1201050</v>
          </cell>
          <cell r="AE585">
            <v>0</v>
          </cell>
        </row>
        <row r="586">
          <cell r="I586" t="str">
            <v>OWERRI Team 3</v>
          </cell>
          <cell r="L586">
            <v>8</v>
          </cell>
          <cell r="O586">
            <v>55</v>
          </cell>
          <cell r="R586">
            <v>39</v>
          </cell>
          <cell r="U586">
            <v>24.9</v>
          </cell>
          <cell r="X586">
            <v>10</v>
          </cell>
          <cell r="AA586">
            <v>10</v>
          </cell>
          <cell r="AC586">
            <v>1250088</v>
          </cell>
          <cell r="AD586">
            <v>1250088</v>
          </cell>
          <cell r="AE586">
            <v>0</v>
          </cell>
        </row>
        <row r="587">
          <cell r="I587" t="str">
            <v>OWERRI Team 4</v>
          </cell>
          <cell r="L587">
            <v>0</v>
          </cell>
          <cell r="O587">
            <v>0</v>
          </cell>
          <cell r="R587">
            <v>0</v>
          </cell>
          <cell r="U587">
            <v>0</v>
          </cell>
          <cell r="X587">
            <v>0</v>
          </cell>
          <cell r="AA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I588" t="str">
            <v>ABA Team 1</v>
          </cell>
          <cell r="L588">
            <v>8</v>
          </cell>
          <cell r="O588">
            <v>25</v>
          </cell>
          <cell r="R588">
            <v>13</v>
          </cell>
          <cell r="U588">
            <v>8</v>
          </cell>
          <cell r="X588">
            <v>21</v>
          </cell>
          <cell r="AA588">
            <v>35.200000000000003</v>
          </cell>
          <cell r="AC588">
            <v>803988</v>
          </cell>
          <cell r="AD588">
            <v>803988</v>
          </cell>
          <cell r="AE588">
            <v>0</v>
          </cell>
        </row>
        <row r="589">
          <cell r="I589" t="str">
            <v>ABA Team 2</v>
          </cell>
          <cell r="L589">
            <v>8</v>
          </cell>
          <cell r="O589">
            <v>25</v>
          </cell>
          <cell r="R589">
            <v>10</v>
          </cell>
          <cell r="U589">
            <v>8</v>
          </cell>
          <cell r="X589">
            <v>31</v>
          </cell>
          <cell r="AA589">
            <v>22.4</v>
          </cell>
          <cell r="AC589">
            <v>755916</v>
          </cell>
          <cell r="AD589">
            <v>755916</v>
          </cell>
          <cell r="AE589">
            <v>0</v>
          </cell>
        </row>
        <row r="590">
          <cell r="I590" t="str">
            <v>ABA Team 3</v>
          </cell>
          <cell r="L590">
            <v>5</v>
          </cell>
          <cell r="O590">
            <v>50.1</v>
          </cell>
          <cell r="R590">
            <v>20</v>
          </cell>
          <cell r="U590">
            <v>13</v>
          </cell>
          <cell r="X590">
            <v>12</v>
          </cell>
          <cell r="AA590">
            <v>12</v>
          </cell>
          <cell r="AC590">
            <v>959844</v>
          </cell>
          <cell r="AD590">
            <v>959844</v>
          </cell>
          <cell r="AE590">
            <v>0</v>
          </cell>
        </row>
        <row r="591">
          <cell r="I591" t="str">
            <v>ABA Team 4</v>
          </cell>
          <cell r="L591">
            <v>5</v>
          </cell>
          <cell r="O591">
            <v>22</v>
          </cell>
          <cell r="R591">
            <v>19</v>
          </cell>
          <cell r="U591">
            <v>9</v>
          </cell>
          <cell r="X591">
            <v>30.5</v>
          </cell>
          <cell r="AA591">
            <v>15</v>
          </cell>
          <cell r="AC591">
            <v>786150</v>
          </cell>
          <cell r="AD591">
            <v>786150</v>
          </cell>
          <cell r="AE591">
            <v>0</v>
          </cell>
        </row>
        <row r="592">
          <cell r="I592" t="str">
            <v>PHC 1 Team 1</v>
          </cell>
          <cell r="L592">
            <v>12</v>
          </cell>
          <cell r="O592">
            <v>0</v>
          </cell>
          <cell r="R592">
            <v>91</v>
          </cell>
          <cell r="U592">
            <v>150</v>
          </cell>
          <cell r="X592">
            <v>0</v>
          </cell>
          <cell r="AA592">
            <v>99.4</v>
          </cell>
          <cell r="AC592">
            <v>2180256</v>
          </cell>
          <cell r="AD592">
            <v>2180256</v>
          </cell>
          <cell r="AE592">
            <v>0</v>
          </cell>
        </row>
        <row r="593">
          <cell r="I593" t="str">
            <v>PHC 1 Team 2</v>
          </cell>
          <cell r="L593">
            <v>11</v>
          </cell>
          <cell r="O593">
            <v>0</v>
          </cell>
          <cell r="R593">
            <v>60</v>
          </cell>
          <cell r="U593">
            <v>90</v>
          </cell>
          <cell r="X593">
            <v>0</v>
          </cell>
          <cell r="AA593">
            <v>70.400000000000006</v>
          </cell>
          <cell r="AC593">
            <v>1440096</v>
          </cell>
          <cell r="AD593">
            <v>1440096</v>
          </cell>
          <cell r="AE593">
            <v>0</v>
          </cell>
        </row>
        <row r="594">
          <cell r="I594" t="str">
            <v>PHC 1 Team 3</v>
          </cell>
          <cell r="L594">
            <v>0</v>
          </cell>
          <cell r="O594">
            <v>0</v>
          </cell>
          <cell r="R594">
            <v>0</v>
          </cell>
          <cell r="U594">
            <v>0</v>
          </cell>
          <cell r="X594">
            <v>0</v>
          </cell>
          <cell r="AA594">
            <v>0</v>
          </cell>
          <cell r="AC594">
            <v>0</v>
          </cell>
          <cell r="AD594">
            <v>0</v>
          </cell>
          <cell r="AE594">
            <v>0</v>
          </cell>
        </row>
        <row r="595">
          <cell r="I595" t="str">
            <v>PHC 1 Team 4</v>
          </cell>
          <cell r="L595">
            <v>0</v>
          </cell>
          <cell r="O595">
            <v>0</v>
          </cell>
          <cell r="R595">
            <v>0</v>
          </cell>
          <cell r="U595">
            <v>0</v>
          </cell>
          <cell r="X595">
            <v>0</v>
          </cell>
          <cell r="AA595">
            <v>0</v>
          </cell>
          <cell r="AC595">
            <v>0</v>
          </cell>
          <cell r="AD595">
            <v>0</v>
          </cell>
          <cell r="AE595">
            <v>0</v>
          </cell>
        </row>
        <row r="596">
          <cell r="I596" t="str">
            <v>PHC 2 Team 1</v>
          </cell>
          <cell r="L596">
            <v>6</v>
          </cell>
          <cell r="O596">
            <v>25.2</v>
          </cell>
          <cell r="R596">
            <v>34</v>
          </cell>
          <cell r="U596">
            <v>208</v>
          </cell>
          <cell r="X596">
            <v>24.8</v>
          </cell>
          <cell r="AA596">
            <v>0</v>
          </cell>
          <cell r="AC596">
            <v>1488192</v>
          </cell>
          <cell r="AD596">
            <v>1488192</v>
          </cell>
          <cell r="AE596">
            <v>0</v>
          </cell>
        </row>
        <row r="597">
          <cell r="I597" t="str">
            <v>PHC 2 Team 2</v>
          </cell>
          <cell r="L597">
            <v>5</v>
          </cell>
          <cell r="O597">
            <v>23</v>
          </cell>
          <cell r="R597">
            <v>30</v>
          </cell>
          <cell r="U597">
            <v>206.1</v>
          </cell>
          <cell r="X597">
            <v>30</v>
          </cell>
          <cell r="AA597">
            <v>0</v>
          </cell>
          <cell r="AC597">
            <v>1446552</v>
          </cell>
          <cell r="AD597">
            <v>1446552</v>
          </cell>
          <cell r="AE597">
            <v>0</v>
          </cell>
        </row>
        <row r="598">
          <cell r="I598" t="str">
            <v>PHC 2 Team 3</v>
          </cell>
          <cell r="L598">
            <v>0</v>
          </cell>
          <cell r="O598">
            <v>0</v>
          </cell>
          <cell r="R598">
            <v>0</v>
          </cell>
          <cell r="U598">
            <v>0</v>
          </cell>
          <cell r="X598">
            <v>0</v>
          </cell>
          <cell r="AA598">
            <v>0</v>
          </cell>
          <cell r="AC598">
            <v>0</v>
          </cell>
          <cell r="AD598">
            <v>0</v>
          </cell>
          <cell r="AE598">
            <v>0</v>
          </cell>
        </row>
        <row r="599">
          <cell r="I599" t="str">
            <v>PHC 2 Team 4</v>
          </cell>
          <cell r="L599">
            <v>0</v>
          </cell>
          <cell r="O599">
            <v>0</v>
          </cell>
          <cell r="R599">
            <v>0</v>
          </cell>
          <cell r="U599">
            <v>0</v>
          </cell>
          <cell r="X599">
            <v>0</v>
          </cell>
          <cell r="AA599">
            <v>0</v>
          </cell>
          <cell r="AC599">
            <v>0</v>
          </cell>
          <cell r="AD599">
            <v>0</v>
          </cell>
          <cell r="AE599">
            <v>0</v>
          </cell>
        </row>
        <row r="600">
          <cell r="I600" t="str">
            <v>BAYELSA Team 1</v>
          </cell>
          <cell r="L600">
            <v>13</v>
          </cell>
          <cell r="O600">
            <v>51.5</v>
          </cell>
          <cell r="R600">
            <v>67</v>
          </cell>
          <cell r="U600">
            <v>171.1</v>
          </cell>
          <cell r="X600">
            <v>67</v>
          </cell>
          <cell r="AA600">
            <v>80</v>
          </cell>
          <cell r="AC600">
            <v>2828952</v>
          </cell>
          <cell r="AD600">
            <v>2828952</v>
          </cell>
          <cell r="AE600">
            <v>0</v>
          </cell>
        </row>
        <row r="601">
          <cell r="I601" t="str">
            <v>BAYELSA Team 2</v>
          </cell>
          <cell r="L601">
            <v>3</v>
          </cell>
          <cell r="O601">
            <v>27</v>
          </cell>
          <cell r="R601">
            <v>13</v>
          </cell>
          <cell r="U601">
            <v>4.0999999999999996</v>
          </cell>
          <cell r="X601">
            <v>6</v>
          </cell>
          <cell r="AA601">
            <v>10</v>
          </cell>
          <cell r="AC601">
            <v>553752</v>
          </cell>
          <cell r="AD601">
            <v>553752</v>
          </cell>
          <cell r="AE601">
            <v>0</v>
          </cell>
        </row>
        <row r="602">
          <cell r="I602" t="str">
            <v>BAYELSA Team 3</v>
          </cell>
          <cell r="L602">
            <v>0</v>
          </cell>
          <cell r="O602">
            <v>0</v>
          </cell>
          <cell r="R602">
            <v>0</v>
          </cell>
          <cell r="U602">
            <v>0</v>
          </cell>
          <cell r="X602">
            <v>0</v>
          </cell>
          <cell r="AA602">
            <v>0</v>
          </cell>
          <cell r="AC602">
            <v>0</v>
          </cell>
          <cell r="AD602">
            <v>0</v>
          </cell>
          <cell r="AE602">
            <v>0</v>
          </cell>
        </row>
        <row r="603">
          <cell r="I603" t="str">
            <v>BAYELSA Team 4</v>
          </cell>
          <cell r="L603">
            <v>0</v>
          </cell>
          <cell r="O603">
            <v>0</v>
          </cell>
          <cell r="R603">
            <v>0</v>
          </cell>
          <cell r="U603">
            <v>0</v>
          </cell>
          <cell r="X603">
            <v>0</v>
          </cell>
          <cell r="AA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I604" t="str">
            <v>UYO Team 1</v>
          </cell>
          <cell r="L604">
            <v>10</v>
          </cell>
          <cell r="O604">
            <v>37.700000000000003</v>
          </cell>
          <cell r="R604">
            <v>28</v>
          </cell>
          <cell r="U604">
            <v>127</v>
          </cell>
          <cell r="X604">
            <v>23.3</v>
          </cell>
          <cell r="AA604">
            <v>17</v>
          </cell>
          <cell r="AC604">
            <v>1389882</v>
          </cell>
          <cell r="AD604">
            <v>1389882</v>
          </cell>
          <cell r="AE604">
            <v>0</v>
          </cell>
        </row>
        <row r="605">
          <cell r="I605" t="str">
            <v>UYO Team 2</v>
          </cell>
          <cell r="L605">
            <v>3</v>
          </cell>
          <cell r="O605">
            <v>34</v>
          </cell>
          <cell r="R605">
            <v>23</v>
          </cell>
          <cell r="U605">
            <v>38</v>
          </cell>
          <cell r="X605">
            <v>9.5</v>
          </cell>
          <cell r="AA605">
            <v>20</v>
          </cell>
          <cell r="AC605">
            <v>938730</v>
          </cell>
          <cell r="AD605">
            <v>938730</v>
          </cell>
          <cell r="AE605">
            <v>0</v>
          </cell>
        </row>
        <row r="606">
          <cell r="I606" t="str">
            <v>UYO Team 3</v>
          </cell>
          <cell r="L606">
            <v>0</v>
          </cell>
          <cell r="O606">
            <v>0</v>
          </cell>
          <cell r="R606">
            <v>0</v>
          </cell>
          <cell r="U606">
            <v>0</v>
          </cell>
          <cell r="X606">
            <v>0</v>
          </cell>
          <cell r="AA606">
            <v>0</v>
          </cell>
          <cell r="AC606">
            <v>0</v>
          </cell>
          <cell r="AD606">
            <v>0</v>
          </cell>
          <cell r="AE606">
            <v>0</v>
          </cell>
        </row>
        <row r="607">
          <cell r="I607" t="str">
            <v>UYO Team 4</v>
          </cell>
          <cell r="L607">
            <v>0</v>
          </cell>
          <cell r="O607">
            <v>0</v>
          </cell>
          <cell r="R607">
            <v>0</v>
          </cell>
          <cell r="U607">
            <v>0</v>
          </cell>
          <cell r="X607">
            <v>0</v>
          </cell>
          <cell r="AA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I608" t="str">
            <v>CALABAR Team 1</v>
          </cell>
          <cell r="L608">
            <v>7</v>
          </cell>
          <cell r="O608">
            <v>40</v>
          </cell>
          <cell r="R608">
            <v>49</v>
          </cell>
          <cell r="U608">
            <v>60</v>
          </cell>
          <cell r="X608">
            <v>9.1999999999999993</v>
          </cell>
          <cell r="AA608">
            <v>0</v>
          </cell>
          <cell r="AC608">
            <v>1255176</v>
          </cell>
          <cell r="AD608">
            <v>1255176</v>
          </cell>
          <cell r="AE608">
            <v>0</v>
          </cell>
        </row>
        <row r="609">
          <cell r="I609" t="str">
            <v>CALABAR Team 2</v>
          </cell>
          <cell r="L609">
            <v>8</v>
          </cell>
          <cell r="O609">
            <v>0</v>
          </cell>
          <cell r="R609">
            <v>40</v>
          </cell>
          <cell r="U609">
            <v>40</v>
          </cell>
          <cell r="X609">
            <v>35.6</v>
          </cell>
          <cell r="AA609">
            <v>0</v>
          </cell>
          <cell r="AC609">
            <v>846168</v>
          </cell>
          <cell r="AD609">
            <v>846168</v>
          </cell>
          <cell r="AE609">
            <v>0</v>
          </cell>
        </row>
        <row r="610">
          <cell r="I610" t="str">
            <v>CALABAR Team 3</v>
          </cell>
          <cell r="L610">
            <v>8</v>
          </cell>
          <cell r="O610">
            <v>0</v>
          </cell>
          <cell r="R610">
            <v>0</v>
          </cell>
          <cell r="U610">
            <v>97.9</v>
          </cell>
          <cell r="X610">
            <v>0</v>
          </cell>
          <cell r="AA610">
            <v>79.7</v>
          </cell>
          <cell r="AC610">
            <v>802776</v>
          </cell>
          <cell r="AD610">
            <v>802776</v>
          </cell>
          <cell r="AE610">
            <v>0</v>
          </cell>
        </row>
        <row r="611">
          <cell r="I611" t="str">
            <v>CALABAR Team 4</v>
          </cell>
          <cell r="L611">
            <v>0</v>
          </cell>
          <cell r="O611">
            <v>0</v>
          </cell>
          <cell r="R611">
            <v>0</v>
          </cell>
          <cell r="U611">
            <v>0</v>
          </cell>
          <cell r="X611">
            <v>0</v>
          </cell>
          <cell r="AA611">
            <v>0</v>
          </cell>
          <cell r="AC611">
            <v>0</v>
          </cell>
          <cell r="AD611">
            <v>0</v>
          </cell>
          <cell r="AE611">
            <v>0</v>
          </cell>
        </row>
        <row r="612">
          <cell r="I612" t="str">
            <v>IBADAN I Team 1</v>
          </cell>
          <cell r="L612">
            <v>4</v>
          </cell>
          <cell r="O612">
            <v>12.5</v>
          </cell>
          <cell r="R612">
            <v>10.199999999999999</v>
          </cell>
          <cell r="X612">
            <v>10</v>
          </cell>
          <cell r="AA612">
            <v>15</v>
          </cell>
          <cell r="AC612">
            <v>414300</v>
          </cell>
          <cell r="AD612">
            <v>414300</v>
          </cell>
          <cell r="AE612">
            <v>0</v>
          </cell>
        </row>
        <row r="613">
          <cell r="I613" t="str">
            <v>IBADAN I Team 2</v>
          </cell>
          <cell r="L613">
            <v>4</v>
          </cell>
          <cell r="O613">
            <v>12.5</v>
          </cell>
          <cell r="R613">
            <v>10.199999999999999</v>
          </cell>
          <cell r="X613">
            <v>10.752000000000001</v>
          </cell>
          <cell r="AA613">
            <v>15</v>
          </cell>
          <cell r="AC613">
            <v>419398.56</v>
          </cell>
          <cell r="AD613">
            <v>419398.56</v>
          </cell>
          <cell r="AE613">
            <v>0</v>
          </cell>
        </row>
        <row r="614">
          <cell r="I614" t="str">
            <v>IBADAN I Team 3</v>
          </cell>
          <cell r="L614">
            <v>4</v>
          </cell>
          <cell r="O614">
            <v>12.5</v>
          </cell>
          <cell r="R614">
            <v>10.199999999999999</v>
          </cell>
          <cell r="X614">
            <v>10</v>
          </cell>
          <cell r="AA614">
            <v>15</v>
          </cell>
          <cell r="AC614">
            <v>414300</v>
          </cell>
          <cell r="AD614">
            <v>414300</v>
          </cell>
          <cell r="AE614">
            <v>0</v>
          </cell>
        </row>
        <row r="615">
          <cell r="I615" t="str">
            <v>IBADAN I Team 4</v>
          </cell>
          <cell r="L615">
            <v>4</v>
          </cell>
          <cell r="O615">
            <v>12.5</v>
          </cell>
          <cell r="R615">
            <v>10.199999999999999</v>
          </cell>
          <cell r="X615">
            <v>10</v>
          </cell>
          <cell r="AA615">
            <v>20</v>
          </cell>
          <cell r="AC615">
            <v>445500</v>
          </cell>
          <cell r="AD615">
            <v>445500</v>
          </cell>
          <cell r="AE615">
            <v>0</v>
          </cell>
        </row>
        <row r="616">
          <cell r="I616" t="str">
            <v>IBADAN II Team 1</v>
          </cell>
          <cell r="L616">
            <v>4</v>
          </cell>
          <cell r="O616">
            <v>4.2409999999999997</v>
          </cell>
          <cell r="R616">
            <v>20</v>
          </cell>
          <cell r="X616">
            <v>6.3</v>
          </cell>
          <cell r="AA616">
            <v>5.5</v>
          </cell>
          <cell r="AC616">
            <v>361310.04</v>
          </cell>
          <cell r="AD616">
            <v>361310.04</v>
          </cell>
          <cell r="AE616">
            <v>0</v>
          </cell>
        </row>
        <row r="617">
          <cell r="I617" t="str">
            <v>IBADAN II Team 2</v>
          </cell>
          <cell r="L617">
            <v>4</v>
          </cell>
          <cell r="O617">
            <v>5.5</v>
          </cell>
          <cell r="R617">
            <v>20</v>
          </cell>
          <cell r="X617">
            <v>5.4</v>
          </cell>
          <cell r="AA617">
            <v>5.5</v>
          </cell>
          <cell r="AC617">
            <v>368352</v>
          </cell>
          <cell r="AD617">
            <v>368352</v>
          </cell>
          <cell r="AE617">
            <v>0</v>
          </cell>
        </row>
        <row r="618">
          <cell r="I618" t="str">
            <v>IBADAN II Team 3</v>
          </cell>
          <cell r="L618">
            <v>4</v>
          </cell>
          <cell r="O618">
            <v>5.2</v>
          </cell>
          <cell r="R618">
            <v>10</v>
          </cell>
          <cell r="X618">
            <v>10.686</v>
          </cell>
          <cell r="AA618">
            <v>7.2</v>
          </cell>
          <cell r="AC618">
            <v>291667.08</v>
          </cell>
          <cell r="AD618">
            <v>291667.08</v>
          </cell>
          <cell r="AE618">
            <v>0</v>
          </cell>
        </row>
        <row r="619">
          <cell r="I619" t="str">
            <v>IBADAN II Team 4</v>
          </cell>
          <cell r="L619">
            <v>4</v>
          </cell>
          <cell r="O619">
            <v>6.23</v>
          </cell>
          <cell r="R619">
            <v>12</v>
          </cell>
          <cell r="X619">
            <v>10.624000000000001</v>
          </cell>
          <cell r="AA619">
            <v>7.5</v>
          </cell>
          <cell r="AC619">
            <v>327871.92</v>
          </cell>
          <cell r="AD619">
            <v>327871.92</v>
          </cell>
          <cell r="AE619">
            <v>0</v>
          </cell>
        </row>
        <row r="620">
          <cell r="I620" t="str">
            <v>OSHOGBO Team 1</v>
          </cell>
          <cell r="L620">
            <v>5</v>
          </cell>
          <cell r="O620">
            <v>2</v>
          </cell>
          <cell r="R620">
            <v>4.2</v>
          </cell>
          <cell r="X620">
            <v>6.5</v>
          </cell>
          <cell r="AA620">
            <v>8</v>
          </cell>
          <cell r="AC620">
            <v>165270</v>
          </cell>
          <cell r="AD620">
            <v>165270</v>
          </cell>
          <cell r="AE620">
            <v>0</v>
          </cell>
        </row>
        <row r="621">
          <cell r="I621" t="str">
            <v>OSHOGBO Team 2</v>
          </cell>
          <cell r="L621">
            <v>3</v>
          </cell>
          <cell r="O621">
            <v>2</v>
          </cell>
          <cell r="R621">
            <v>4.33</v>
          </cell>
          <cell r="X621">
            <v>6.5</v>
          </cell>
          <cell r="AA621">
            <v>8</v>
          </cell>
          <cell r="AC621">
            <v>166830</v>
          </cell>
          <cell r="AD621">
            <v>166830</v>
          </cell>
          <cell r="AE621">
            <v>0</v>
          </cell>
        </row>
        <row r="622">
          <cell r="I622" t="str">
            <v>OSHOGBO Team 3</v>
          </cell>
          <cell r="L622">
            <v>0</v>
          </cell>
          <cell r="O622">
            <v>0</v>
          </cell>
          <cell r="R622">
            <v>0</v>
          </cell>
          <cell r="X622">
            <v>0</v>
          </cell>
          <cell r="AA622">
            <v>0</v>
          </cell>
          <cell r="AC622">
            <v>0</v>
          </cell>
          <cell r="AD622">
            <v>0</v>
          </cell>
          <cell r="AE622">
            <v>0</v>
          </cell>
        </row>
        <row r="623">
          <cell r="I623" t="str">
            <v>OSHOGBO Team 4</v>
          </cell>
          <cell r="L623">
            <v>0</v>
          </cell>
          <cell r="O623">
            <v>0</v>
          </cell>
          <cell r="R623">
            <v>0</v>
          </cell>
          <cell r="X623">
            <v>0</v>
          </cell>
          <cell r="AA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I624" t="str">
            <v>ILORIN  Team 1</v>
          </cell>
          <cell r="L624">
            <v>6</v>
          </cell>
          <cell r="O624">
            <v>5.45</v>
          </cell>
          <cell r="R624">
            <v>10</v>
          </cell>
          <cell r="X624">
            <v>15.281000000000001</v>
          </cell>
          <cell r="AA624">
            <v>15</v>
          </cell>
          <cell r="AC624">
            <v>374103.18</v>
          </cell>
          <cell r="AD624">
            <v>374103.18</v>
          </cell>
          <cell r="AE624">
            <v>0</v>
          </cell>
        </row>
        <row r="625">
          <cell r="I625" t="str">
            <v>ILORIN  Team 2</v>
          </cell>
          <cell r="L625">
            <v>0</v>
          </cell>
          <cell r="O625">
            <v>0</v>
          </cell>
          <cell r="R625">
            <v>0</v>
          </cell>
          <cell r="X625">
            <v>0</v>
          </cell>
          <cell r="AA625">
            <v>0</v>
          </cell>
          <cell r="AC625">
            <v>0</v>
          </cell>
          <cell r="AD625">
            <v>0</v>
          </cell>
          <cell r="AE625">
            <v>0</v>
          </cell>
        </row>
        <row r="626">
          <cell r="I626" t="str">
            <v>ILORIN  Team 3</v>
          </cell>
          <cell r="L626">
            <v>0</v>
          </cell>
          <cell r="O626">
            <v>0</v>
          </cell>
          <cell r="R626">
            <v>0</v>
          </cell>
          <cell r="X626">
            <v>0</v>
          </cell>
          <cell r="AA626">
            <v>0</v>
          </cell>
          <cell r="AC626">
            <v>0</v>
          </cell>
          <cell r="AD626">
            <v>0</v>
          </cell>
          <cell r="AE626">
            <v>0</v>
          </cell>
        </row>
        <row r="627">
          <cell r="I627" t="str">
            <v>ILORIN  Team 4</v>
          </cell>
          <cell r="L627">
            <v>0</v>
          </cell>
          <cell r="O627">
            <v>0</v>
          </cell>
          <cell r="R627">
            <v>0</v>
          </cell>
          <cell r="X627">
            <v>0</v>
          </cell>
          <cell r="AA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I628" t="str">
            <v>BENIN 1 Team 1</v>
          </cell>
          <cell r="L628">
            <v>5</v>
          </cell>
          <cell r="O628">
            <v>25</v>
          </cell>
          <cell r="R628">
            <v>21.05</v>
          </cell>
          <cell r="X628">
            <v>0</v>
          </cell>
          <cell r="AA628">
            <v>18</v>
          </cell>
          <cell r="AC628">
            <v>625920</v>
          </cell>
          <cell r="AD628">
            <v>625920</v>
          </cell>
          <cell r="AE628">
            <v>0</v>
          </cell>
        </row>
        <row r="629">
          <cell r="I629" t="str">
            <v>BENIN 1 Team 2</v>
          </cell>
          <cell r="L629">
            <v>5</v>
          </cell>
          <cell r="O629">
            <v>25</v>
          </cell>
          <cell r="R629">
            <v>22</v>
          </cell>
          <cell r="X629">
            <v>0</v>
          </cell>
          <cell r="AA629">
            <v>18</v>
          </cell>
          <cell r="AC629">
            <v>637320</v>
          </cell>
          <cell r="AD629">
            <v>637320</v>
          </cell>
          <cell r="AE629">
            <v>0</v>
          </cell>
        </row>
        <row r="630">
          <cell r="I630" t="str">
            <v>BENIN 1 Team 3</v>
          </cell>
          <cell r="L630">
            <v>4</v>
          </cell>
          <cell r="O630">
            <v>25</v>
          </cell>
          <cell r="R630">
            <v>22</v>
          </cell>
          <cell r="X630">
            <v>0</v>
          </cell>
          <cell r="AA630">
            <v>18</v>
          </cell>
          <cell r="AC630">
            <v>637320</v>
          </cell>
          <cell r="AD630">
            <v>637320</v>
          </cell>
          <cell r="AE630">
            <v>0</v>
          </cell>
        </row>
        <row r="631">
          <cell r="I631" t="str">
            <v>BENIN 1 Team 4</v>
          </cell>
          <cell r="L631">
            <v>0</v>
          </cell>
          <cell r="O631">
            <v>0</v>
          </cell>
          <cell r="R631">
            <v>0</v>
          </cell>
          <cell r="X631">
            <v>0</v>
          </cell>
          <cell r="AA631">
            <v>0</v>
          </cell>
          <cell r="AC631">
            <v>0</v>
          </cell>
          <cell r="AD631">
            <v>0</v>
          </cell>
          <cell r="AE631">
            <v>0</v>
          </cell>
        </row>
        <row r="632">
          <cell r="I632" t="str">
            <v>BENIN II Team 1</v>
          </cell>
          <cell r="L632">
            <v>7</v>
          </cell>
          <cell r="O632">
            <v>60</v>
          </cell>
          <cell r="R632">
            <v>50</v>
          </cell>
          <cell r="X632">
            <v>0</v>
          </cell>
          <cell r="AA632">
            <v>39.299999999999997</v>
          </cell>
          <cell r="AC632">
            <v>1471632</v>
          </cell>
          <cell r="AD632">
            <v>1471632</v>
          </cell>
          <cell r="AE632">
            <v>0</v>
          </cell>
        </row>
        <row r="633">
          <cell r="I633" t="str">
            <v>BENIN II Team 2</v>
          </cell>
          <cell r="L633">
            <v>7</v>
          </cell>
          <cell r="O633">
            <v>60</v>
          </cell>
          <cell r="R633">
            <v>40</v>
          </cell>
          <cell r="X633">
            <v>0</v>
          </cell>
          <cell r="AA633">
            <v>38</v>
          </cell>
          <cell r="AC633">
            <v>1343520</v>
          </cell>
          <cell r="AD633">
            <v>1343520</v>
          </cell>
          <cell r="AE633">
            <v>0</v>
          </cell>
        </row>
        <row r="634">
          <cell r="I634" t="str">
            <v>BENIN II Team 3</v>
          </cell>
          <cell r="L634">
            <v>0</v>
          </cell>
          <cell r="O634">
            <v>0</v>
          </cell>
          <cell r="R634">
            <v>0</v>
          </cell>
          <cell r="X634">
            <v>0</v>
          </cell>
          <cell r="AA634">
            <v>0</v>
          </cell>
          <cell r="AC634">
            <v>0</v>
          </cell>
          <cell r="AD634">
            <v>0</v>
          </cell>
          <cell r="AE634">
            <v>0</v>
          </cell>
        </row>
        <row r="635">
          <cell r="I635" t="str">
            <v>BENIN II Team 4</v>
          </cell>
          <cell r="L635">
            <v>0</v>
          </cell>
          <cell r="O635">
            <v>0</v>
          </cell>
          <cell r="R635">
            <v>0</v>
          </cell>
          <cell r="X635">
            <v>0</v>
          </cell>
          <cell r="AA635">
            <v>0</v>
          </cell>
          <cell r="AC635">
            <v>0</v>
          </cell>
          <cell r="AD635">
            <v>0</v>
          </cell>
          <cell r="AE635">
            <v>0</v>
          </cell>
        </row>
        <row r="636">
          <cell r="I636" t="str">
            <v>AKURE 1(Ado-Ekiti/Ondo) Team 1</v>
          </cell>
          <cell r="L636">
            <v>10</v>
          </cell>
          <cell r="O636">
            <v>20</v>
          </cell>
          <cell r="R636">
            <v>20</v>
          </cell>
          <cell r="X636">
            <v>22</v>
          </cell>
          <cell r="AA636">
            <v>20.198</v>
          </cell>
          <cell r="AC636">
            <v>723995.52</v>
          </cell>
          <cell r="AD636">
            <v>723995.52</v>
          </cell>
          <cell r="AE636">
            <v>0</v>
          </cell>
        </row>
        <row r="637">
          <cell r="I637" t="str">
            <v>AKURE 1(Ado-Ekiti/Ondo) Team 2</v>
          </cell>
          <cell r="L637">
            <v>5</v>
          </cell>
          <cell r="O637">
            <v>3.5</v>
          </cell>
          <cell r="R637">
            <v>6.5</v>
          </cell>
          <cell r="X637">
            <v>12.005000000000001</v>
          </cell>
          <cell r="AA637">
            <v>12.51</v>
          </cell>
          <cell r="AC637">
            <v>273996.3</v>
          </cell>
          <cell r="AD637">
            <v>273996.3</v>
          </cell>
          <cell r="AE637">
            <v>0</v>
          </cell>
        </row>
        <row r="638">
          <cell r="I638" t="str">
            <v>AKURE 1(Ado-Ekiti/Ondo) Team 3</v>
          </cell>
          <cell r="L638">
            <v>0</v>
          </cell>
          <cell r="O638">
            <v>0</v>
          </cell>
          <cell r="R638">
            <v>0</v>
          </cell>
          <cell r="X638">
            <v>0</v>
          </cell>
          <cell r="AA638">
            <v>0</v>
          </cell>
          <cell r="AC638">
            <v>0</v>
          </cell>
          <cell r="AD638">
            <v>0</v>
          </cell>
          <cell r="AE638">
            <v>0</v>
          </cell>
        </row>
        <row r="639">
          <cell r="I639" t="str">
            <v>AKURE 1(Ado-Ekiti/Ondo) Team 4</v>
          </cell>
          <cell r="L639">
            <v>0</v>
          </cell>
          <cell r="O639">
            <v>0</v>
          </cell>
          <cell r="R639">
            <v>0</v>
          </cell>
          <cell r="X639">
            <v>0</v>
          </cell>
          <cell r="AA639">
            <v>0</v>
          </cell>
          <cell r="AC639">
            <v>0</v>
          </cell>
          <cell r="AD639">
            <v>0</v>
          </cell>
          <cell r="AE639">
            <v>0</v>
          </cell>
        </row>
        <row r="640">
          <cell r="I640" t="str">
            <v>AKURE II Team 1</v>
          </cell>
          <cell r="L640">
            <v>7</v>
          </cell>
          <cell r="O640">
            <v>12</v>
          </cell>
          <cell r="R640">
            <v>14</v>
          </cell>
          <cell r="X640">
            <v>42</v>
          </cell>
          <cell r="AA640">
            <v>5.923</v>
          </cell>
          <cell r="AC640">
            <v>614999.52</v>
          </cell>
          <cell r="AD640">
            <v>614999.52</v>
          </cell>
          <cell r="AE640">
            <v>0</v>
          </cell>
        </row>
        <row r="641">
          <cell r="I641" t="str">
            <v>AKURE II Team 2</v>
          </cell>
          <cell r="L641">
            <v>0</v>
          </cell>
          <cell r="O641">
            <v>0</v>
          </cell>
          <cell r="R641">
            <v>0</v>
          </cell>
          <cell r="X641">
            <v>0</v>
          </cell>
          <cell r="AA641">
            <v>0</v>
          </cell>
          <cell r="AC641">
            <v>0</v>
          </cell>
          <cell r="AD641">
            <v>0</v>
          </cell>
          <cell r="AE641">
            <v>0</v>
          </cell>
        </row>
        <row r="642">
          <cell r="I642" t="str">
            <v>AKURE II Team 3</v>
          </cell>
          <cell r="L642">
            <v>0</v>
          </cell>
          <cell r="O642">
            <v>0</v>
          </cell>
          <cell r="R642">
            <v>0</v>
          </cell>
          <cell r="X642">
            <v>0</v>
          </cell>
          <cell r="AA642">
            <v>0</v>
          </cell>
          <cell r="AC642">
            <v>0</v>
          </cell>
          <cell r="AD642">
            <v>0</v>
          </cell>
          <cell r="AE642">
            <v>0</v>
          </cell>
        </row>
        <row r="643">
          <cell r="I643" t="str">
            <v>AKURE II Team 4</v>
          </cell>
          <cell r="L643">
            <v>0</v>
          </cell>
          <cell r="O643">
            <v>0</v>
          </cell>
          <cell r="R643">
            <v>0</v>
          </cell>
          <cell r="X643">
            <v>0</v>
          </cell>
          <cell r="AA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I644" t="str">
            <v>WARRI Team 1</v>
          </cell>
          <cell r="L644">
            <v>10</v>
          </cell>
          <cell r="O644">
            <v>23</v>
          </cell>
          <cell r="R644">
            <v>0</v>
          </cell>
          <cell r="X644">
            <v>25</v>
          </cell>
          <cell r="AA644">
            <v>20.573</v>
          </cell>
          <cell r="AC644">
            <v>537995.52000000002</v>
          </cell>
          <cell r="AD644">
            <v>537995.52000000002</v>
          </cell>
          <cell r="AE644">
            <v>0</v>
          </cell>
        </row>
        <row r="645">
          <cell r="I645" t="str">
            <v>WARRI Team 2</v>
          </cell>
          <cell r="L645">
            <v>0</v>
          </cell>
          <cell r="O645">
            <v>0</v>
          </cell>
          <cell r="R645">
            <v>0</v>
          </cell>
          <cell r="X645">
            <v>0</v>
          </cell>
          <cell r="AA645">
            <v>0</v>
          </cell>
          <cell r="AC645">
            <v>0</v>
          </cell>
          <cell r="AD645">
            <v>0</v>
          </cell>
          <cell r="AE645">
            <v>0</v>
          </cell>
        </row>
        <row r="646">
          <cell r="I646" t="str">
            <v>WARRI Team 3</v>
          </cell>
          <cell r="L646">
            <v>0</v>
          </cell>
          <cell r="O646">
            <v>0</v>
          </cell>
          <cell r="R646">
            <v>0</v>
          </cell>
          <cell r="X646">
            <v>0</v>
          </cell>
          <cell r="AA646">
            <v>0</v>
          </cell>
          <cell r="AC646">
            <v>0</v>
          </cell>
          <cell r="AD646">
            <v>0</v>
          </cell>
          <cell r="AE646">
            <v>0</v>
          </cell>
        </row>
        <row r="647">
          <cell r="I647" t="str">
            <v>WARRI Team 4</v>
          </cell>
          <cell r="L647">
            <v>0</v>
          </cell>
          <cell r="O647">
            <v>0</v>
          </cell>
          <cell r="R647">
            <v>0</v>
          </cell>
          <cell r="X647">
            <v>0</v>
          </cell>
          <cell r="AA647">
            <v>0</v>
          </cell>
          <cell r="AC647">
            <v>0</v>
          </cell>
          <cell r="AD647">
            <v>0</v>
          </cell>
          <cell r="AE647">
            <v>0</v>
          </cell>
        </row>
        <row r="648">
          <cell r="I648" t="str">
            <v>Enugu Team 1</v>
          </cell>
          <cell r="L648">
            <v>5</v>
          </cell>
          <cell r="O648">
            <v>10</v>
          </cell>
          <cell r="R648">
            <v>15</v>
          </cell>
          <cell r="U648">
            <v>30</v>
          </cell>
          <cell r="X648">
            <v>9</v>
          </cell>
          <cell r="AA648">
            <v>13.5</v>
          </cell>
          <cell r="AC648">
            <v>523260</v>
          </cell>
          <cell r="AD648">
            <v>523260</v>
          </cell>
          <cell r="AE648">
            <v>0</v>
          </cell>
        </row>
        <row r="649">
          <cell r="I649" t="str">
            <v>Enugu Team 2</v>
          </cell>
          <cell r="L649">
            <v>3</v>
          </cell>
          <cell r="O649">
            <v>10</v>
          </cell>
          <cell r="R649">
            <v>7</v>
          </cell>
          <cell r="U649">
            <v>12.7</v>
          </cell>
          <cell r="X649">
            <v>7</v>
          </cell>
          <cell r="AA649">
            <v>7</v>
          </cell>
          <cell r="AC649">
            <v>319164</v>
          </cell>
          <cell r="AD649">
            <v>319164</v>
          </cell>
          <cell r="AE649">
            <v>0</v>
          </cell>
        </row>
        <row r="650">
          <cell r="I650" t="str">
            <v>Enugu Team 3</v>
          </cell>
          <cell r="L650">
            <v>0</v>
          </cell>
          <cell r="O650">
            <v>0</v>
          </cell>
          <cell r="R650">
            <v>0</v>
          </cell>
          <cell r="U650">
            <v>0</v>
          </cell>
          <cell r="X650">
            <v>0</v>
          </cell>
          <cell r="AA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I651" t="str">
            <v>Enugu Team 4</v>
          </cell>
          <cell r="L651">
            <v>0</v>
          </cell>
          <cell r="O651">
            <v>0</v>
          </cell>
          <cell r="R651">
            <v>0</v>
          </cell>
          <cell r="U651">
            <v>0</v>
          </cell>
          <cell r="X651">
            <v>0</v>
          </cell>
          <cell r="AA651">
            <v>0</v>
          </cell>
          <cell r="AC651">
            <v>0</v>
          </cell>
          <cell r="AD651">
            <v>0</v>
          </cell>
          <cell r="AE651">
            <v>0</v>
          </cell>
        </row>
        <row r="652">
          <cell r="I652" t="str">
            <v>Abakaliki Team 1</v>
          </cell>
          <cell r="L652">
            <v>5</v>
          </cell>
          <cell r="O652">
            <v>20.100000000000001</v>
          </cell>
          <cell r="R652">
            <v>10.9</v>
          </cell>
          <cell r="U652">
            <v>0</v>
          </cell>
          <cell r="X652">
            <v>10</v>
          </cell>
          <cell r="AA652">
            <v>9.9</v>
          </cell>
          <cell r="AC652">
            <v>470220</v>
          </cell>
          <cell r="AD652">
            <v>470220</v>
          </cell>
          <cell r="AE652">
            <v>0</v>
          </cell>
        </row>
        <row r="653">
          <cell r="I653" t="str">
            <v>Abakaliki Team 2</v>
          </cell>
          <cell r="L653">
            <v>5</v>
          </cell>
          <cell r="O653">
            <v>12</v>
          </cell>
          <cell r="R653">
            <v>10</v>
          </cell>
          <cell r="U653">
            <v>0</v>
          </cell>
          <cell r="X653">
            <v>15.5</v>
          </cell>
          <cell r="AA653">
            <v>10</v>
          </cell>
          <cell r="AC653">
            <v>412770</v>
          </cell>
          <cell r="AD653">
            <v>412770</v>
          </cell>
          <cell r="AE653">
            <v>0</v>
          </cell>
        </row>
        <row r="654">
          <cell r="I654" t="str">
            <v>Abakaliki Team 3</v>
          </cell>
          <cell r="L654">
            <v>0</v>
          </cell>
          <cell r="O654">
            <v>0</v>
          </cell>
          <cell r="R654">
            <v>0</v>
          </cell>
          <cell r="U654">
            <v>0</v>
          </cell>
          <cell r="X654">
            <v>0</v>
          </cell>
          <cell r="AA654">
            <v>0</v>
          </cell>
          <cell r="AC654">
            <v>0</v>
          </cell>
          <cell r="AD654">
            <v>0</v>
          </cell>
          <cell r="AE654">
            <v>0</v>
          </cell>
        </row>
        <row r="655">
          <cell r="I655" t="str">
            <v>Abakaliki Team 4</v>
          </cell>
          <cell r="L655">
            <v>0</v>
          </cell>
          <cell r="O655">
            <v>0</v>
          </cell>
          <cell r="R655">
            <v>0</v>
          </cell>
          <cell r="U655">
            <v>0</v>
          </cell>
          <cell r="X655">
            <v>0</v>
          </cell>
          <cell r="AA655">
            <v>0</v>
          </cell>
          <cell r="AC655">
            <v>0</v>
          </cell>
          <cell r="AD655">
            <v>0</v>
          </cell>
          <cell r="AE655">
            <v>0</v>
          </cell>
        </row>
        <row r="656">
          <cell r="I656" t="str">
            <v>Onitsha Team 1</v>
          </cell>
          <cell r="L656">
            <v>8</v>
          </cell>
          <cell r="O656">
            <v>0</v>
          </cell>
          <cell r="R656">
            <v>23</v>
          </cell>
          <cell r="U656">
            <v>350</v>
          </cell>
          <cell r="X656">
            <v>0</v>
          </cell>
          <cell r="AA656">
            <v>0</v>
          </cell>
          <cell r="AC656">
            <v>1368000</v>
          </cell>
          <cell r="AD656">
            <v>1368000</v>
          </cell>
          <cell r="AE656">
            <v>0</v>
          </cell>
        </row>
        <row r="657">
          <cell r="I657" t="str">
            <v>Onitsha Team 2</v>
          </cell>
          <cell r="L657">
            <v>8</v>
          </cell>
          <cell r="O657">
            <v>0</v>
          </cell>
          <cell r="R657">
            <v>18.100000000000001</v>
          </cell>
          <cell r="U657">
            <v>149.9</v>
          </cell>
          <cell r="X657">
            <v>0</v>
          </cell>
          <cell r="AA657">
            <v>20</v>
          </cell>
          <cell r="AC657">
            <v>809688</v>
          </cell>
          <cell r="AD657">
            <v>809688</v>
          </cell>
          <cell r="AE657">
            <v>0</v>
          </cell>
        </row>
        <row r="658">
          <cell r="I658" t="str">
            <v>Onitsha Team 3</v>
          </cell>
          <cell r="L658">
            <v>8</v>
          </cell>
          <cell r="O658">
            <v>0</v>
          </cell>
          <cell r="R658">
            <v>83</v>
          </cell>
          <cell r="U658">
            <v>50.9</v>
          </cell>
          <cell r="X658">
            <v>0</v>
          </cell>
          <cell r="AA658">
            <v>0</v>
          </cell>
          <cell r="AC658">
            <v>1154808</v>
          </cell>
          <cell r="AD658">
            <v>1154808</v>
          </cell>
          <cell r="AE658">
            <v>0</v>
          </cell>
        </row>
        <row r="659">
          <cell r="I659" t="str">
            <v>Onitsha Team 4</v>
          </cell>
          <cell r="L659">
            <v>8</v>
          </cell>
          <cell r="O659">
            <v>0</v>
          </cell>
          <cell r="R659">
            <v>24.6</v>
          </cell>
          <cell r="U659">
            <v>524.20000000000005</v>
          </cell>
          <cell r="X659">
            <v>0</v>
          </cell>
          <cell r="AA659">
            <v>10</v>
          </cell>
          <cell r="AC659">
            <v>1993104</v>
          </cell>
          <cell r="AD659">
            <v>1993104</v>
          </cell>
          <cell r="AE659">
            <v>0</v>
          </cell>
        </row>
        <row r="660">
          <cell r="I660" t="str">
            <v>ASABA Team 1</v>
          </cell>
          <cell r="L660">
            <v>10</v>
          </cell>
          <cell r="O660">
            <v>5</v>
          </cell>
          <cell r="R660">
            <v>10</v>
          </cell>
          <cell r="U660">
            <v>78.8</v>
          </cell>
          <cell r="X660">
            <v>0</v>
          </cell>
          <cell r="AA660">
            <v>10</v>
          </cell>
          <cell r="AC660">
            <v>480456</v>
          </cell>
          <cell r="AD660">
            <v>480456</v>
          </cell>
          <cell r="AE660">
            <v>0</v>
          </cell>
        </row>
        <row r="661">
          <cell r="I661" t="str">
            <v>ASABA Team 2</v>
          </cell>
          <cell r="L661">
            <v>0</v>
          </cell>
          <cell r="O661">
            <v>0</v>
          </cell>
          <cell r="R661">
            <v>0</v>
          </cell>
          <cell r="U661">
            <v>0</v>
          </cell>
          <cell r="X661">
            <v>0</v>
          </cell>
          <cell r="AA661">
            <v>0</v>
          </cell>
          <cell r="AC661">
            <v>0</v>
          </cell>
          <cell r="AD661">
            <v>0</v>
          </cell>
          <cell r="AE661">
            <v>0</v>
          </cell>
        </row>
        <row r="662">
          <cell r="I662" t="str">
            <v>ASABA Team 3</v>
          </cell>
          <cell r="L662">
            <v>0</v>
          </cell>
          <cell r="O662">
            <v>0</v>
          </cell>
          <cell r="R662">
            <v>0</v>
          </cell>
          <cell r="U662">
            <v>0</v>
          </cell>
          <cell r="X662">
            <v>0</v>
          </cell>
          <cell r="AA662">
            <v>0</v>
          </cell>
          <cell r="AC662">
            <v>0</v>
          </cell>
          <cell r="AD662">
            <v>0</v>
          </cell>
          <cell r="AE662">
            <v>0</v>
          </cell>
        </row>
        <row r="663">
          <cell r="I663" t="str">
            <v>ASABA Team 4</v>
          </cell>
          <cell r="L663">
            <v>0</v>
          </cell>
          <cell r="O663">
            <v>0</v>
          </cell>
          <cell r="R663">
            <v>0</v>
          </cell>
          <cell r="U663">
            <v>0</v>
          </cell>
          <cell r="X663">
            <v>0</v>
          </cell>
          <cell r="AA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I664" t="str">
            <v>OWERRI Team 1</v>
          </cell>
          <cell r="L664">
            <v>8</v>
          </cell>
          <cell r="O664">
            <v>20</v>
          </cell>
          <cell r="R664">
            <v>37</v>
          </cell>
          <cell r="U664">
            <v>15.9</v>
          </cell>
          <cell r="X664">
            <v>34</v>
          </cell>
          <cell r="AA664">
            <v>30</v>
          </cell>
          <cell r="AC664">
            <v>1120128</v>
          </cell>
          <cell r="AD664">
            <v>1120128</v>
          </cell>
          <cell r="AE664">
            <v>0</v>
          </cell>
        </row>
        <row r="665">
          <cell r="I665" t="str">
            <v>OWERRI Team 2</v>
          </cell>
          <cell r="L665">
            <v>8</v>
          </cell>
          <cell r="O665">
            <v>20</v>
          </cell>
          <cell r="R665">
            <v>32</v>
          </cell>
          <cell r="U665">
            <v>23.1</v>
          </cell>
          <cell r="X665">
            <v>57</v>
          </cell>
          <cell r="AA665">
            <v>30</v>
          </cell>
          <cell r="AC665">
            <v>1238532</v>
          </cell>
          <cell r="AD665">
            <v>1238532</v>
          </cell>
          <cell r="AE665">
            <v>0</v>
          </cell>
        </row>
        <row r="666">
          <cell r="I666" t="str">
            <v>OWERRI Team 3</v>
          </cell>
          <cell r="L666">
            <v>8</v>
          </cell>
          <cell r="O666">
            <v>30</v>
          </cell>
          <cell r="R666">
            <v>20</v>
          </cell>
          <cell r="U666">
            <v>11.1</v>
          </cell>
          <cell r="X666">
            <v>30</v>
          </cell>
          <cell r="AA666">
            <v>49.5</v>
          </cell>
          <cell r="AC666">
            <v>1100112</v>
          </cell>
          <cell r="AD666">
            <v>1100112</v>
          </cell>
          <cell r="AE666">
            <v>0</v>
          </cell>
        </row>
        <row r="667">
          <cell r="I667" t="str">
            <v>OWERRI Team 4</v>
          </cell>
          <cell r="L667">
            <v>0</v>
          </cell>
          <cell r="O667">
            <v>0</v>
          </cell>
          <cell r="R667">
            <v>0</v>
          </cell>
          <cell r="U667">
            <v>0</v>
          </cell>
          <cell r="X667">
            <v>0</v>
          </cell>
          <cell r="AA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I668" t="str">
            <v>ABA Team 1</v>
          </cell>
          <cell r="L668">
            <v>8</v>
          </cell>
          <cell r="O668">
            <v>30</v>
          </cell>
          <cell r="R668">
            <v>15</v>
          </cell>
          <cell r="U668">
            <v>9</v>
          </cell>
          <cell r="X668">
            <v>24</v>
          </cell>
          <cell r="AA668">
            <v>25</v>
          </cell>
          <cell r="AC668">
            <v>840000</v>
          </cell>
          <cell r="AD668">
            <v>840000</v>
          </cell>
          <cell r="AE668">
            <v>0</v>
          </cell>
        </row>
        <row r="669">
          <cell r="I669" t="str">
            <v>ABA Team 2</v>
          </cell>
          <cell r="L669">
            <v>8</v>
          </cell>
          <cell r="O669">
            <v>30</v>
          </cell>
          <cell r="R669">
            <v>15</v>
          </cell>
          <cell r="U669">
            <v>9</v>
          </cell>
          <cell r="X669">
            <v>24</v>
          </cell>
          <cell r="AA669">
            <v>25</v>
          </cell>
          <cell r="AC669">
            <v>840000</v>
          </cell>
          <cell r="AD669">
            <v>840000</v>
          </cell>
          <cell r="AE669">
            <v>0</v>
          </cell>
        </row>
        <row r="670">
          <cell r="I670" t="str">
            <v>ABA Team 3</v>
          </cell>
          <cell r="L670">
            <v>5</v>
          </cell>
          <cell r="O670">
            <v>20</v>
          </cell>
          <cell r="R670">
            <v>15</v>
          </cell>
          <cell r="U670">
            <v>18.899999999999999</v>
          </cell>
          <cell r="X670">
            <v>23.4</v>
          </cell>
          <cell r="AA670">
            <v>20</v>
          </cell>
          <cell r="AC670">
            <v>731220</v>
          </cell>
          <cell r="AD670">
            <v>731220</v>
          </cell>
          <cell r="AE670">
            <v>0</v>
          </cell>
        </row>
        <row r="671">
          <cell r="I671" t="str">
            <v>ABA Team 4</v>
          </cell>
          <cell r="L671">
            <v>5</v>
          </cell>
          <cell r="O671">
            <v>18</v>
          </cell>
          <cell r="R671">
            <v>20</v>
          </cell>
          <cell r="U671">
            <v>13.2</v>
          </cell>
          <cell r="X671">
            <v>28</v>
          </cell>
          <cell r="AA671">
            <v>26</v>
          </cell>
          <cell r="AC671">
            <v>821184</v>
          </cell>
          <cell r="AD671">
            <v>821184</v>
          </cell>
          <cell r="AE671">
            <v>0</v>
          </cell>
        </row>
        <row r="672">
          <cell r="I672" t="str">
            <v>PHC 1 Team 1</v>
          </cell>
          <cell r="L672">
            <v>11</v>
          </cell>
          <cell r="O672">
            <v>0</v>
          </cell>
          <cell r="R672">
            <v>40</v>
          </cell>
          <cell r="U672">
            <v>204.1</v>
          </cell>
          <cell r="X672">
            <v>0</v>
          </cell>
          <cell r="AA672">
            <v>117.5</v>
          </cell>
          <cell r="AC672">
            <v>1849992</v>
          </cell>
          <cell r="AD672">
            <v>1849992</v>
          </cell>
          <cell r="AE672">
            <v>0</v>
          </cell>
        </row>
        <row r="673">
          <cell r="I673" t="str">
            <v>PHC 1 Team 2</v>
          </cell>
          <cell r="L673">
            <v>11</v>
          </cell>
          <cell r="O673">
            <v>0</v>
          </cell>
          <cell r="R673">
            <v>30</v>
          </cell>
          <cell r="U673">
            <v>214.1</v>
          </cell>
          <cell r="X673">
            <v>0</v>
          </cell>
          <cell r="AA673">
            <v>99.7</v>
          </cell>
          <cell r="AC673">
            <v>1650120</v>
          </cell>
          <cell r="AD673">
            <v>1650120</v>
          </cell>
          <cell r="AE673">
            <v>0</v>
          </cell>
        </row>
        <row r="674">
          <cell r="I674" t="str">
            <v>PHC 1 Team 3</v>
          </cell>
          <cell r="L674">
            <v>0</v>
          </cell>
          <cell r="O674">
            <v>0</v>
          </cell>
          <cell r="R674">
            <v>0</v>
          </cell>
          <cell r="U674">
            <v>0</v>
          </cell>
          <cell r="X674">
            <v>0</v>
          </cell>
          <cell r="AA674">
            <v>0</v>
          </cell>
          <cell r="AC674">
            <v>0</v>
          </cell>
          <cell r="AD674">
            <v>0</v>
          </cell>
          <cell r="AE674">
            <v>0</v>
          </cell>
        </row>
        <row r="675">
          <cell r="I675" t="str">
            <v>PHC 1 Team 4</v>
          </cell>
          <cell r="L675">
            <v>0</v>
          </cell>
          <cell r="O675">
            <v>0</v>
          </cell>
          <cell r="R675">
            <v>0</v>
          </cell>
          <cell r="U675">
            <v>0</v>
          </cell>
          <cell r="X675">
            <v>0</v>
          </cell>
          <cell r="AA675">
            <v>0</v>
          </cell>
          <cell r="AC675">
            <v>0</v>
          </cell>
          <cell r="AD675">
            <v>0</v>
          </cell>
          <cell r="AE675">
            <v>0</v>
          </cell>
        </row>
        <row r="676">
          <cell r="I676" t="str">
            <v>PHC 2 Team 1</v>
          </cell>
          <cell r="L676">
            <v>6</v>
          </cell>
          <cell r="O676">
            <v>6</v>
          </cell>
          <cell r="R676">
            <v>14</v>
          </cell>
          <cell r="U676">
            <v>180.2</v>
          </cell>
          <cell r="X676">
            <v>13</v>
          </cell>
          <cell r="AA676">
            <v>0</v>
          </cell>
          <cell r="AC676">
            <v>881004</v>
          </cell>
          <cell r="AD676">
            <v>881004</v>
          </cell>
          <cell r="AE676">
            <v>0</v>
          </cell>
        </row>
        <row r="677">
          <cell r="I677" t="str">
            <v>PHC 2 Team 2</v>
          </cell>
          <cell r="L677">
            <v>5</v>
          </cell>
          <cell r="O677">
            <v>4</v>
          </cell>
          <cell r="R677">
            <v>12</v>
          </cell>
          <cell r="U677">
            <v>190.6</v>
          </cell>
          <cell r="X677">
            <v>14</v>
          </cell>
          <cell r="AA677">
            <v>0</v>
          </cell>
          <cell r="AC677">
            <v>875352</v>
          </cell>
          <cell r="AD677">
            <v>875352</v>
          </cell>
          <cell r="AE677">
            <v>0</v>
          </cell>
        </row>
        <row r="678">
          <cell r="I678" t="str">
            <v>PHC 2 Team 3</v>
          </cell>
          <cell r="L678">
            <v>0</v>
          </cell>
          <cell r="O678">
            <v>0</v>
          </cell>
          <cell r="R678">
            <v>0</v>
          </cell>
          <cell r="U678">
            <v>0</v>
          </cell>
          <cell r="X678">
            <v>0</v>
          </cell>
          <cell r="AA678">
            <v>0</v>
          </cell>
          <cell r="AC678">
            <v>0</v>
          </cell>
          <cell r="AD678">
            <v>0</v>
          </cell>
          <cell r="AE678">
            <v>0</v>
          </cell>
        </row>
        <row r="679">
          <cell r="I679" t="str">
            <v>PHC 2 Team 4</v>
          </cell>
          <cell r="L679">
            <v>0</v>
          </cell>
          <cell r="O679">
            <v>0</v>
          </cell>
          <cell r="R679">
            <v>0</v>
          </cell>
          <cell r="U679">
            <v>0</v>
          </cell>
          <cell r="X679">
            <v>0</v>
          </cell>
          <cell r="AA679">
            <v>0</v>
          </cell>
          <cell r="AC679">
            <v>0</v>
          </cell>
          <cell r="AD679">
            <v>0</v>
          </cell>
          <cell r="AE679">
            <v>0</v>
          </cell>
        </row>
        <row r="680">
          <cell r="I680" t="str">
            <v>BAYELSA Team 1</v>
          </cell>
          <cell r="L680">
            <v>9</v>
          </cell>
          <cell r="O680">
            <v>40</v>
          </cell>
          <cell r="R680">
            <v>60</v>
          </cell>
          <cell r="U680">
            <v>60</v>
          </cell>
          <cell r="X680">
            <v>60</v>
          </cell>
          <cell r="AA680">
            <v>62.5</v>
          </cell>
          <cell r="AC680">
            <v>2121600</v>
          </cell>
          <cell r="AD680">
            <v>2121600</v>
          </cell>
          <cell r="AE680">
            <v>0</v>
          </cell>
        </row>
        <row r="681">
          <cell r="I681" t="str">
            <v>BAYELSA Team 2</v>
          </cell>
          <cell r="L681">
            <v>7</v>
          </cell>
          <cell r="O681">
            <v>20</v>
          </cell>
          <cell r="R681">
            <v>0</v>
          </cell>
          <cell r="U681">
            <v>59.8</v>
          </cell>
          <cell r="X681">
            <v>50</v>
          </cell>
          <cell r="AA681">
            <v>60</v>
          </cell>
          <cell r="AC681">
            <v>1108776</v>
          </cell>
          <cell r="AD681">
            <v>1108776</v>
          </cell>
          <cell r="AE681">
            <v>0</v>
          </cell>
        </row>
        <row r="682">
          <cell r="I682" t="str">
            <v>BAYELSA Team 3</v>
          </cell>
          <cell r="L682">
            <v>0</v>
          </cell>
          <cell r="O682">
            <v>0</v>
          </cell>
          <cell r="R682">
            <v>0</v>
          </cell>
          <cell r="U682">
            <v>0</v>
          </cell>
          <cell r="X682">
            <v>0</v>
          </cell>
          <cell r="AA682">
            <v>0</v>
          </cell>
          <cell r="AC682">
            <v>0</v>
          </cell>
          <cell r="AD682">
            <v>0</v>
          </cell>
          <cell r="AE682">
            <v>0</v>
          </cell>
        </row>
        <row r="683">
          <cell r="I683" t="str">
            <v>BAYELSA Team 4</v>
          </cell>
          <cell r="L683">
            <v>0</v>
          </cell>
          <cell r="O683">
            <v>0</v>
          </cell>
          <cell r="R683">
            <v>0</v>
          </cell>
          <cell r="U683">
            <v>0</v>
          </cell>
          <cell r="X683">
            <v>0</v>
          </cell>
          <cell r="AA683">
            <v>0</v>
          </cell>
          <cell r="AC683">
            <v>0</v>
          </cell>
          <cell r="AD683">
            <v>0</v>
          </cell>
          <cell r="AE683">
            <v>0</v>
          </cell>
        </row>
        <row r="684">
          <cell r="I684" t="str">
            <v>UYO Team 1</v>
          </cell>
          <cell r="L684">
            <v>10</v>
          </cell>
          <cell r="O684">
            <v>32</v>
          </cell>
          <cell r="R684">
            <v>30</v>
          </cell>
          <cell r="U684">
            <v>95.2</v>
          </cell>
          <cell r="X684">
            <v>24</v>
          </cell>
          <cell r="AA684">
            <v>13</v>
          </cell>
          <cell r="AC684">
            <v>1234944</v>
          </cell>
          <cell r="AD684">
            <v>1234944</v>
          </cell>
          <cell r="AE684">
            <v>0</v>
          </cell>
        </row>
        <row r="685">
          <cell r="I685" t="str">
            <v>UYO Team 2</v>
          </cell>
          <cell r="L685">
            <v>3</v>
          </cell>
          <cell r="O685">
            <v>30</v>
          </cell>
          <cell r="R685">
            <v>33</v>
          </cell>
          <cell r="U685">
            <v>43</v>
          </cell>
          <cell r="X685">
            <v>4.0999999999999996</v>
          </cell>
          <cell r="AA685">
            <v>12</v>
          </cell>
          <cell r="AC685">
            <v>946038</v>
          </cell>
          <cell r="AD685">
            <v>946038</v>
          </cell>
          <cell r="AE685">
            <v>0</v>
          </cell>
        </row>
        <row r="686">
          <cell r="I686" t="str">
            <v>UYO Team 3</v>
          </cell>
          <cell r="L686">
            <v>0</v>
          </cell>
          <cell r="O686">
            <v>0</v>
          </cell>
          <cell r="R686">
            <v>0</v>
          </cell>
          <cell r="U686">
            <v>0</v>
          </cell>
          <cell r="X686">
            <v>0</v>
          </cell>
          <cell r="AA686">
            <v>0</v>
          </cell>
          <cell r="AC686">
            <v>0</v>
          </cell>
          <cell r="AD686">
            <v>0</v>
          </cell>
          <cell r="AE686">
            <v>0</v>
          </cell>
        </row>
        <row r="687">
          <cell r="I687" t="str">
            <v>UYO Team 4</v>
          </cell>
          <cell r="L687">
            <v>0</v>
          </cell>
          <cell r="O687">
            <v>0</v>
          </cell>
          <cell r="R687">
            <v>0</v>
          </cell>
          <cell r="U687">
            <v>0</v>
          </cell>
          <cell r="X687">
            <v>0</v>
          </cell>
          <cell r="AA687">
            <v>0</v>
          </cell>
          <cell r="AC687">
            <v>0</v>
          </cell>
          <cell r="AD687">
            <v>0</v>
          </cell>
          <cell r="AE687">
            <v>0</v>
          </cell>
        </row>
        <row r="688">
          <cell r="I688" t="str">
            <v>CALABAR Team 1</v>
          </cell>
          <cell r="L688">
            <v>7</v>
          </cell>
          <cell r="O688">
            <v>12</v>
          </cell>
          <cell r="R688">
            <v>29</v>
          </cell>
          <cell r="U688">
            <v>50</v>
          </cell>
          <cell r="X688">
            <v>10</v>
          </cell>
          <cell r="AA688">
            <v>9.8000000000000007</v>
          </cell>
          <cell r="AC688">
            <v>758232</v>
          </cell>
          <cell r="AD688">
            <v>758232</v>
          </cell>
          <cell r="AE688">
            <v>0</v>
          </cell>
        </row>
        <row r="689">
          <cell r="I689" t="str">
            <v>CALABAR Team 2</v>
          </cell>
          <cell r="L689">
            <v>8</v>
          </cell>
          <cell r="O689">
            <v>0</v>
          </cell>
          <cell r="R689">
            <v>30.1</v>
          </cell>
          <cell r="U689">
            <v>148.80000000000001</v>
          </cell>
          <cell r="X689">
            <v>0</v>
          </cell>
          <cell r="AA689">
            <v>0</v>
          </cell>
          <cell r="AC689">
            <v>825456</v>
          </cell>
          <cell r="AD689">
            <v>825456</v>
          </cell>
          <cell r="AE689">
            <v>0</v>
          </cell>
        </row>
        <row r="690">
          <cell r="I690" t="str">
            <v>CALABAR Team 3</v>
          </cell>
          <cell r="L690">
            <v>8</v>
          </cell>
          <cell r="O690">
            <v>10</v>
          </cell>
          <cell r="R690">
            <v>30.1</v>
          </cell>
          <cell r="U690">
            <v>95.8</v>
          </cell>
          <cell r="X690">
            <v>0</v>
          </cell>
          <cell r="AA690">
            <v>0</v>
          </cell>
          <cell r="AC690">
            <v>764496</v>
          </cell>
          <cell r="AD690">
            <v>764496</v>
          </cell>
          <cell r="AE690">
            <v>0</v>
          </cell>
        </row>
        <row r="691">
          <cell r="I691" t="str">
            <v>CALABAR Team 4</v>
          </cell>
          <cell r="L691">
            <v>0</v>
          </cell>
          <cell r="O691">
            <v>0</v>
          </cell>
          <cell r="R691">
            <v>0</v>
          </cell>
          <cell r="U691">
            <v>0</v>
          </cell>
          <cell r="X691">
            <v>0</v>
          </cell>
          <cell r="AA691">
            <v>0</v>
          </cell>
          <cell r="AC691">
            <v>0</v>
          </cell>
          <cell r="AD691">
            <v>0</v>
          </cell>
          <cell r="AE691">
            <v>0</v>
          </cell>
        </row>
        <row r="692">
          <cell r="I692" t="str">
            <v>IBADAN I Team 1</v>
          </cell>
          <cell r="L692">
            <v>4</v>
          </cell>
          <cell r="O692">
            <v>25</v>
          </cell>
          <cell r="R692">
            <v>25</v>
          </cell>
          <cell r="X692">
            <v>25</v>
          </cell>
          <cell r="AA692">
            <v>24</v>
          </cell>
          <cell r="AC692">
            <v>880260</v>
          </cell>
          <cell r="AD692">
            <v>880260</v>
          </cell>
          <cell r="AE692">
            <v>0</v>
          </cell>
        </row>
        <row r="693">
          <cell r="I693" t="str">
            <v>IBADAN I Team 2</v>
          </cell>
          <cell r="L693">
            <v>4</v>
          </cell>
          <cell r="O693">
            <v>25</v>
          </cell>
          <cell r="R693">
            <v>25</v>
          </cell>
          <cell r="X693">
            <v>25</v>
          </cell>
          <cell r="AA693">
            <v>15.516</v>
          </cell>
          <cell r="AC693">
            <v>827319.84</v>
          </cell>
          <cell r="AD693">
            <v>827319.84</v>
          </cell>
          <cell r="AE693">
            <v>0</v>
          </cell>
        </row>
        <row r="694">
          <cell r="I694" t="str">
            <v>IBADAN I Team 3</v>
          </cell>
          <cell r="L694">
            <v>4</v>
          </cell>
          <cell r="O694">
            <v>25</v>
          </cell>
          <cell r="R694">
            <v>25</v>
          </cell>
          <cell r="X694">
            <v>25</v>
          </cell>
          <cell r="AA694">
            <v>15</v>
          </cell>
          <cell r="AC694">
            <v>824100</v>
          </cell>
          <cell r="AD694">
            <v>824100</v>
          </cell>
          <cell r="AE694">
            <v>0</v>
          </cell>
        </row>
        <row r="695">
          <cell r="I695" t="str">
            <v>IBADAN I Team 4</v>
          </cell>
          <cell r="L695">
            <v>4</v>
          </cell>
          <cell r="O695">
            <v>25</v>
          </cell>
          <cell r="R695">
            <v>25</v>
          </cell>
          <cell r="X695">
            <v>25</v>
          </cell>
          <cell r="AA695">
            <v>20</v>
          </cell>
          <cell r="AC695">
            <v>855300</v>
          </cell>
          <cell r="AD695">
            <v>855300</v>
          </cell>
          <cell r="AE695">
            <v>0</v>
          </cell>
        </row>
        <row r="696">
          <cell r="I696" t="str">
            <v>IBADAN II Team 1</v>
          </cell>
          <cell r="L696">
            <v>4</v>
          </cell>
          <cell r="O696">
            <v>5</v>
          </cell>
          <cell r="R696">
            <v>16</v>
          </cell>
          <cell r="X696">
            <v>6.5</v>
          </cell>
          <cell r="AA696">
            <v>6</v>
          </cell>
          <cell r="AC696">
            <v>325710</v>
          </cell>
          <cell r="AD696">
            <v>325710</v>
          </cell>
          <cell r="AE696">
            <v>0</v>
          </cell>
        </row>
        <row r="697">
          <cell r="I697" t="str">
            <v>IBADAN II Team 2</v>
          </cell>
          <cell r="L697">
            <v>4</v>
          </cell>
          <cell r="O697">
            <v>5</v>
          </cell>
          <cell r="R697">
            <v>16</v>
          </cell>
          <cell r="X697">
            <v>6.6</v>
          </cell>
          <cell r="AA697">
            <v>5.5819999999999999</v>
          </cell>
          <cell r="AC697">
            <v>323779.68</v>
          </cell>
          <cell r="AD697">
            <v>323779.68</v>
          </cell>
          <cell r="AE697">
            <v>0</v>
          </cell>
        </row>
        <row r="698">
          <cell r="I698" t="str">
            <v>IBADAN II Team 3</v>
          </cell>
          <cell r="L698">
            <v>4</v>
          </cell>
          <cell r="O698">
            <v>5</v>
          </cell>
          <cell r="R698">
            <v>16</v>
          </cell>
          <cell r="X698">
            <v>6.7</v>
          </cell>
          <cell r="AA698">
            <v>5</v>
          </cell>
          <cell r="AC698">
            <v>320826</v>
          </cell>
          <cell r="AD698">
            <v>320826</v>
          </cell>
          <cell r="AE698">
            <v>0</v>
          </cell>
        </row>
        <row r="699">
          <cell r="I699" t="str">
            <v>IBADAN II Team 4</v>
          </cell>
          <cell r="L699">
            <v>4</v>
          </cell>
          <cell r="O699">
            <v>5</v>
          </cell>
          <cell r="R699">
            <v>16</v>
          </cell>
          <cell r="X699">
            <v>6.7</v>
          </cell>
          <cell r="AA699">
            <v>5</v>
          </cell>
          <cell r="AC699">
            <v>320826</v>
          </cell>
          <cell r="AD699">
            <v>320826</v>
          </cell>
          <cell r="AE699">
            <v>0</v>
          </cell>
        </row>
        <row r="700">
          <cell r="I700" t="str">
            <v>OSHOGBO Team 1</v>
          </cell>
          <cell r="L700">
            <v>5</v>
          </cell>
          <cell r="O700">
            <v>2</v>
          </cell>
          <cell r="R700">
            <v>4.2</v>
          </cell>
          <cell r="X700">
            <v>6.5</v>
          </cell>
          <cell r="AA700">
            <v>9.266</v>
          </cell>
          <cell r="AC700">
            <v>173169.84</v>
          </cell>
          <cell r="AD700">
            <v>173169.84</v>
          </cell>
          <cell r="AE700">
            <v>0</v>
          </cell>
        </row>
        <row r="701">
          <cell r="I701" t="str">
            <v>OSHOGBO Team 2</v>
          </cell>
          <cell r="L701">
            <v>3</v>
          </cell>
          <cell r="O701">
            <v>2</v>
          </cell>
          <cell r="R701">
            <v>4.33</v>
          </cell>
          <cell r="X701">
            <v>6.5</v>
          </cell>
          <cell r="AA701">
            <v>8</v>
          </cell>
          <cell r="AC701">
            <v>166830</v>
          </cell>
          <cell r="AD701">
            <v>166830</v>
          </cell>
          <cell r="AE701">
            <v>0</v>
          </cell>
        </row>
        <row r="702">
          <cell r="I702" t="str">
            <v>OSHOGBO Team 3</v>
          </cell>
          <cell r="L702">
            <v>0</v>
          </cell>
          <cell r="O702">
            <v>0</v>
          </cell>
          <cell r="R702">
            <v>0</v>
          </cell>
          <cell r="X702">
            <v>0</v>
          </cell>
          <cell r="AA702">
            <v>0</v>
          </cell>
          <cell r="AC702">
            <v>0</v>
          </cell>
          <cell r="AD702">
            <v>0</v>
          </cell>
          <cell r="AE702">
            <v>0</v>
          </cell>
        </row>
        <row r="703">
          <cell r="I703" t="str">
            <v>OSHOGBO Team 4</v>
          </cell>
          <cell r="L703">
            <v>0</v>
          </cell>
          <cell r="O703">
            <v>0</v>
          </cell>
          <cell r="R703">
            <v>0</v>
          </cell>
          <cell r="X703">
            <v>0</v>
          </cell>
          <cell r="AA703">
            <v>0</v>
          </cell>
          <cell r="AC703">
            <v>0</v>
          </cell>
          <cell r="AD703">
            <v>0</v>
          </cell>
          <cell r="AE703">
            <v>0</v>
          </cell>
        </row>
        <row r="704">
          <cell r="I704" t="str">
            <v>ILORIN  Team 1</v>
          </cell>
          <cell r="L704">
            <v>6</v>
          </cell>
          <cell r="O704">
            <v>10</v>
          </cell>
          <cell r="R704">
            <v>15</v>
          </cell>
          <cell r="X704">
            <v>19.93</v>
          </cell>
          <cell r="AA704">
            <v>17</v>
          </cell>
          <cell r="AC704">
            <v>525605.4</v>
          </cell>
          <cell r="AD704">
            <v>525605.4</v>
          </cell>
          <cell r="AE704">
            <v>0</v>
          </cell>
        </row>
        <row r="705">
          <cell r="I705" t="str">
            <v>ILORIN  Team 2</v>
          </cell>
          <cell r="L705">
            <v>0</v>
          </cell>
          <cell r="O705">
            <v>0</v>
          </cell>
          <cell r="R705">
            <v>0</v>
          </cell>
          <cell r="X705">
            <v>0</v>
          </cell>
          <cell r="AA705">
            <v>0</v>
          </cell>
          <cell r="AC705">
            <v>0</v>
          </cell>
          <cell r="AD705">
            <v>0</v>
          </cell>
          <cell r="AE705">
            <v>0</v>
          </cell>
        </row>
        <row r="706">
          <cell r="I706" t="str">
            <v>ILORIN  Team 3</v>
          </cell>
          <cell r="L706">
            <v>0</v>
          </cell>
          <cell r="O706">
            <v>0</v>
          </cell>
          <cell r="R706">
            <v>0</v>
          </cell>
          <cell r="X706">
            <v>0</v>
          </cell>
          <cell r="AA706">
            <v>0</v>
          </cell>
          <cell r="AC706">
            <v>0</v>
          </cell>
          <cell r="AD706">
            <v>0</v>
          </cell>
          <cell r="AE706">
            <v>0</v>
          </cell>
        </row>
        <row r="707">
          <cell r="I707" t="str">
            <v>ILORIN  Team 4</v>
          </cell>
          <cell r="L707">
            <v>0</v>
          </cell>
          <cell r="O707">
            <v>0</v>
          </cell>
          <cell r="R707">
            <v>0</v>
          </cell>
          <cell r="X707">
            <v>0</v>
          </cell>
          <cell r="AA707">
            <v>0</v>
          </cell>
          <cell r="AC707">
            <v>0</v>
          </cell>
          <cell r="AD707">
            <v>0</v>
          </cell>
          <cell r="AE707">
            <v>0</v>
          </cell>
        </row>
        <row r="708">
          <cell r="I708" t="str">
            <v>BENIN 1 Team 1</v>
          </cell>
          <cell r="L708">
            <v>5</v>
          </cell>
          <cell r="O708">
            <v>20</v>
          </cell>
          <cell r="R708">
            <v>20.14</v>
          </cell>
          <cell r="X708">
            <v>0</v>
          </cell>
          <cell r="AA708">
            <v>18.48</v>
          </cell>
          <cell r="AC708">
            <v>565795.19999999995</v>
          </cell>
          <cell r="AD708">
            <v>565795.19999999995</v>
          </cell>
          <cell r="AE708">
            <v>0</v>
          </cell>
        </row>
        <row r="709">
          <cell r="I709" t="str">
            <v>BENIN 1 Team 2</v>
          </cell>
          <cell r="L709">
            <v>5</v>
          </cell>
          <cell r="O709">
            <v>20.190000000000001</v>
          </cell>
          <cell r="R709">
            <v>20.149999999999999</v>
          </cell>
          <cell r="X709">
            <v>0</v>
          </cell>
          <cell r="AA709">
            <v>18.48</v>
          </cell>
          <cell r="AC709">
            <v>567898.80000000005</v>
          </cell>
          <cell r="AD709">
            <v>567898.80000000005</v>
          </cell>
          <cell r="AE709">
            <v>0</v>
          </cell>
        </row>
        <row r="710">
          <cell r="I710" t="str">
            <v>BENIN 1 Team 3</v>
          </cell>
          <cell r="L710">
            <v>4</v>
          </cell>
          <cell r="O710">
            <v>20.190000000000001</v>
          </cell>
          <cell r="R710">
            <v>20.149999999999999</v>
          </cell>
          <cell r="X710">
            <v>0</v>
          </cell>
          <cell r="AA710">
            <v>18.48</v>
          </cell>
          <cell r="AC710">
            <v>567898.80000000005</v>
          </cell>
          <cell r="AD710">
            <v>567898.80000000005</v>
          </cell>
          <cell r="AE710">
            <v>0</v>
          </cell>
        </row>
        <row r="711">
          <cell r="I711" t="str">
            <v>BENIN 1 Team 4</v>
          </cell>
          <cell r="L711">
            <v>0</v>
          </cell>
          <cell r="O711">
            <v>0</v>
          </cell>
          <cell r="R711">
            <v>0</v>
          </cell>
          <cell r="X711">
            <v>0</v>
          </cell>
          <cell r="AA711">
            <v>0</v>
          </cell>
          <cell r="AC711">
            <v>0</v>
          </cell>
          <cell r="AD711">
            <v>0</v>
          </cell>
          <cell r="AE711">
            <v>0</v>
          </cell>
        </row>
        <row r="712">
          <cell r="I712" t="str">
            <v>BENIN II Team 1</v>
          </cell>
          <cell r="L712">
            <v>7</v>
          </cell>
          <cell r="O712">
            <v>82</v>
          </cell>
          <cell r="R712">
            <v>60</v>
          </cell>
          <cell r="X712">
            <v>0</v>
          </cell>
          <cell r="AA712">
            <v>70</v>
          </cell>
          <cell r="AC712">
            <v>2012880</v>
          </cell>
          <cell r="AD712">
            <v>2012880</v>
          </cell>
          <cell r="AE712">
            <v>0</v>
          </cell>
        </row>
        <row r="713">
          <cell r="I713" t="str">
            <v>BENIN II Team 2</v>
          </cell>
          <cell r="L713">
            <v>7</v>
          </cell>
          <cell r="O713">
            <v>78</v>
          </cell>
          <cell r="R713">
            <v>60</v>
          </cell>
          <cell r="X713">
            <v>0</v>
          </cell>
          <cell r="AA713">
            <v>70.83</v>
          </cell>
          <cell r="AC713">
            <v>1976299.2</v>
          </cell>
          <cell r="AD713">
            <v>1976299.2</v>
          </cell>
          <cell r="AE713">
            <v>0</v>
          </cell>
        </row>
        <row r="714">
          <cell r="I714" t="str">
            <v>BENIN II Team 3</v>
          </cell>
          <cell r="L714">
            <v>0</v>
          </cell>
          <cell r="O714">
            <v>0</v>
          </cell>
          <cell r="R714">
            <v>0</v>
          </cell>
          <cell r="X714">
            <v>0</v>
          </cell>
          <cell r="AA714">
            <v>0</v>
          </cell>
          <cell r="AC714">
            <v>0</v>
          </cell>
          <cell r="AD714">
            <v>0</v>
          </cell>
          <cell r="AE714">
            <v>0</v>
          </cell>
        </row>
        <row r="715">
          <cell r="I715" t="str">
            <v>BENIN II Team 4</v>
          </cell>
          <cell r="L715">
            <v>0</v>
          </cell>
          <cell r="O715">
            <v>0</v>
          </cell>
          <cell r="R715">
            <v>0</v>
          </cell>
          <cell r="X715">
            <v>0</v>
          </cell>
          <cell r="AA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I716" t="str">
            <v>AKURE 1(Ado-Ekiti/Ondo) Team 1</v>
          </cell>
          <cell r="L716">
            <v>10</v>
          </cell>
          <cell r="O716">
            <v>20</v>
          </cell>
          <cell r="R716">
            <v>20</v>
          </cell>
          <cell r="X716">
            <v>22</v>
          </cell>
          <cell r="AA716">
            <v>19.600000000000001</v>
          </cell>
          <cell r="AC716">
            <v>720264</v>
          </cell>
          <cell r="AD716">
            <v>720264</v>
          </cell>
          <cell r="AE716">
            <v>0</v>
          </cell>
        </row>
        <row r="717">
          <cell r="I717" t="str">
            <v>AKURE 1(Ado-Ekiti/Ondo) Team 2</v>
          </cell>
          <cell r="L717">
            <v>5</v>
          </cell>
          <cell r="O717">
            <v>4.5</v>
          </cell>
          <cell r="R717">
            <v>10</v>
          </cell>
          <cell r="X717">
            <v>14.574999999999999</v>
          </cell>
          <cell r="AA717">
            <v>15.096</v>
          </cell>
          <cell r="AC717">
            <v>359997.54</v>
          </cell>
          <cell r="AD717">
            <v>359997.54</v>
          </cell>
          <cell r="AE717">
            <v>0</v>
          </cell>
        </row>
        <row r="718">
          <cell r="I718" t="str">
            <v>AKURE 1(Ado-Ekiti/Ondo) Team 3</v>
          </cell>
          <cell r="L718">
            <v>0</v>
          </cell>
          <cell r="O718">
            <v>0</v>
          </cell>
          <cell r="R718">
            <v>0</v>
          </cell>
          <cell r="X718">
            <v>0</v>
          </cell>
          <cell r="AA718">
            <v>0</v>
          </cell>
          <cell r="AC718">
            <v>0</v>
          </cell>
          <cell r="AD718">
            <v>0</v>
          </cell>
          <cell r="AE718">
            <v>0</v>
          </cell>
        </row>
        <row r="719">
          <cell r="I719" t="str">
            <v>AKURE 1(Ado-Ekiti/Ondo) Team 4</v>
          </cell>
          <cell r="L719">
            <v>0</v>
          </cell>
          <cell r="O719">
            <v>0</v>
          </cell>
          <cell r="R719">
            <v>0</v>
          </cell>
          <cell r="X719">
            <v>0</v>
          </cell>
          <cell r="AA719">
            <v>0</v>
          </cell>
          <cell r="AC719">
            <v>0</v>
          </cell>
          <cell r="AD719">
            <v>0</v>
          </cell>
          <cell r="AE719">
            <v>0</v>
          </cell>
        </row>
        <row r="720">
          <cell r="I720" t="str">
            <v>AKURE II Team 1</v>
          </cell>
          <cell r="L720">
            <v>7</v>
          </cell>
          <cell r="O720">
            <v>16</v>
          </cell>
          <cell r="R720">
            <v>17</v>
          </cell>
          <cell r="X720">
            <v>50.938000000000002</v>
          </cell>
          <cell r="AA720">
            <v>15</v>
          </cell>
          <cell r="AC720">
            <v>809999.64</v>
          </cell>
          <cell r="AD720">
            <v>809999.64</v>
          </cell>
          <cell r="AE720">
            <v>0</v>
          </cell>
        </row>
        <row r="721">
          <cell r="I721" t="str">
            <v>AKURE II Team 2</v>
          </cell>
          <cell r="L721">
            <v>0</v>
          </cell>
          <cell r="O721">
            <v>0</v>
          </cell>
          <cell r="R721">
            <v>0</v>
          </cell>
          <cell r="X721">
            <v>0</v>
          </cell>
          <cell r="AA721">
            <v>0</v>
          </cell>
          <cell r="AC721">
            <v>0</v>
          </cell>
          <cell r="AD721">
            <v>0</v>
          </cell>
          <cell r="AE721">
            <v>0</v>
          </cell>
        </row>
        <row r="722">
          <cell r="I722" t="str">
            <v>AKURE II Team 3</v>
          </cell>
          <cell r="L722">
            <v>0</v>
          </cell>
          <cell r="O722">
            <v>0</v>
          </cell>
          <cell r="R722">
            <v>0</v>
          </cell>
          <cell r="X722">
            <v>0</v>
          </cell>
          <cell r="AA722">
            <v>0</v>
          </cell>
          <cell r="AC722">
            <v>0</v>
          </cell>
          <cell r="AD722">
            <v>0</v>
          </cell>
          <cell r="AE722">
            <v>0</v>
          </cell>
        </row>
        <row r="723">
          <cell r="I723" t="str">
            <v>AKURE II Team 4</v>
          </cell>
          <cell r="L723">
            <v>0</v>
          </cell>
          <cell r="O723">
            <v>0</v>
          </cell>
          <cell r="R723">
            <v>0</v>
          </cell>
          <cell r="X723">
            <v>0</v>
          </cell>
          <cell r="AA723">
            <v>0</v>
          </cell>
          <cell r="AC723">
            <v>0</v>
          </cell>
          <cell r="AD723">
            <v>0</v>
          </cell>
          <cell r="AE723">
            <v>0</v>
          </cell>
        </row>
        <row r="724">
          <cell r="I724" t="str">
            <v>WARRI Team 1</v>
          </cell>
          <cell r="L724">
            <v>10</v>
          </cell>
          <cell r="O724">
            <v>25.823</v>
          </cell>
          <cell r="R724">
            <v>62</v>
          </cell>
          <cell r="X724">
            <v>20</v>
          </cell>
          <cell r="AA724">
            <v>20</v>
          </cell>
          <cell r="AC724">
            <v>1273992.1200000001</v>
          </cell>
          <cell r="AD724">
            <v>1273992.1200000001</v>
          </cell>
          <cell r="AE724">
            <v>0</v>
          </cell>
        </row>
        <row r="725">
          <cell r="I725" t="str">
            <v>WARRI Team 2</v>
          </cell>
          <cell r="L725">
            <v>0</v>
          </cell>
          <cell r="O725">
            <v>0</v>
          </cell>
          <cell r="R725">
            <v>0</v>
          </cell>
          <cell r="X725">
            <v>0</v>
          </cell>
          <cell r="AA725">
            <v>0</v>
          </cell>
          <cell r="AC725">
            <v>0</v>
          </cell>
          <cell r="AD725">
            <v>0</v>
          </cell>
          <cell r="AE725">
            <v>0</v>
          </cell>
        </row>
        <row r="726">
          <cell r="I726" t="str">
            <v>WARRI Team 3</v>
          </cell>
          <cell r="L726">
            <v>0</v>
          </cell>
          <cell r="O726">
            <v>0</v>
          </cell>
          <cell r="R726">
            <v>0</v>
          </cell>
          <cell r="X726">
            <v>0</v>
          </cell>
          <cell r="AA726">
            <v>0</v>
          </cell>
          <cell r="AC726">
            <v>0</v>
          </cell>
          <cell r="AD726">
            <v>0</v>
          </cell>
          <cell r="AE726">
            <v>0</v>
          </cell>
        </row>
        <row r="727">
          <cell r="I727" t="str">
            <v>WARRI Team 4</v>
          </cell>
          <cell r="L727">
            <v>0</v>
          </cell>
          <cell r="O727">
            <v>0</v>
          </cell>
          <cell r="R727">
            <v>0</v>
          </cell>
          <cell r="X727">
            <v>0</v>
          </cell>
          <cell r="AA727">
            <v>0</v>
          </cell>
          <cell r="AC727">
            <v>0</v>
          </cell>
          <cell r="AD727">
            <v>0</v>
          </cell>
          <cell r="AE727">
            <v>0</v>
          </cell>
        </row>
        <row r="728">
          <cell r="I728" t="str">
            <v>Enugu Team 1</v>
          </cell>
          <cell r="L728">
            <v>6</v>
          </cell>
          <cell r="O728">
            <v>41</v>
          </cell>
          <cell r="R728">
            <v>18</v>
          </cell>
          <cell r="U728">
            <v>30</v>
          </cell>
          <cell r="X728">
            <v>20</v>
          </cell>
          <cell r="AA728">
            <v>20.3</v>
          </cell>
          <cell r="AC728">
            <v>999912</v>
          </cell>
          <cell r="AD728">
            <v>999912</v>
          </cell>
          <cell r="AE728">
            <v>0</v>
          </cell>
        </row>
        <row r="729">
          <cell r="I729" t="str">
            <v>Enugu Team 2</v>
          </cell>
          <cell r="L729">
            <v>4</v>
          </cell>
          <cell r="O729">
            <v>15</v>
          </cell>
          <cell r="R729">
            <v>13</v>
          </cell>
          <cell r="U729">
            <v>10</v>
          </cell>
          <cell r="X729">
            <v>10</v>
          </cell>
          <cell r="AA729">
            <v>15</v>
          </cell>
          <cell r="AC729">
            <v>505200</v>
          </cell>
          <cell r="AD729">
            <v>505200</v>
          </cell>
          <cell r="AE729">
            <v>0</v>
          </cell>
        </row>
        <row r="730">
          <cell r="I730" t="str">
            <v>Enugu Team 3</v>
          </cell>
          <cell r="L730">
            <v>0</v>
          </cell>
          <cell r="O730">
            <v>0</v>
          </cell>
          <cell r="R730">
            <v>0</v>
          </cell>
          <cell r="U730">
            <v>0</v>
          </cell>
          <cell r="X730">
            <v>0</v>
          </cell>
          <cell r="AA730">
            <v>0</v>
          </cell>
          <cell r="AC730">
            <v>0</v>
          </cell>
          <cell r="AD730">
            <v>0</v>
          </cell>
          <cell r="AE730">
            <v>0</v>
          </cell>
        </row>
        <row r="731">
          <cell r="I731" t="str">
            <v>Enugu Team 4</v>
          </cell>
          <cell r="L731">
            <v>0</v>
          </cell>
          <cell r="O731">
            <v>0</v>
          </cell>
          <cell r="R731">
            <v>0</v>
          </cell>
          <cell r="U731">
            <v>0</v>
          </cell>
          <cell r="X731">
            <v>0</v>
          </cell>
          <cell r="AA731">
            <v>0</v>
          </cell>
          <cell r="AC731">
            <v>0</v>
          </cell>
          <cell r="AD731">
            <v>0</v>
          </cell>
          <cell r="AE731">
            <v>0</v>
          </cell>
        </row>
        <row r="732">
          <cell r="I732" t="str">
            <v>Abakaliki Team 1</v>
          </cell>
          <cell r="L732">
            <v>5</v>
          </cell>
          <cell r="O732">
            <v>18</v>
          </cell>
          <cell r="R732">
            <v>7</v>
          </cell>
          <cell r="U732">
            <v>0</v>
          </cell>
          <cell r="X732">
            <v>19</v>
          </cell>
          <cell r="AA732">
            <v>20</v>
          </cell>
          <cell r="AC732">
            <v>525540</v>
          </cell>
          <cell r="AD732">
            <v>525540</v>
          </cell>
          <cell r="AE732">
            <v>0</v>
          </cell>
        </row>
        <row r="733">
          <cell r="I733" t="str">
            <v>Abakaliki Team 2</v>
          </cell>
          <cell r="L733">
            <v>5</v>
          </cell>
          <cell r="O733">
            <v>18</v>
          </cell>
          <cell r="R733">
            <v>6</v>
          </cell>
          <cell r="U733">
            <v>0</v>
          </cell>
          <cell r="X733">
            <v>20.2</v>
          </cell>
          <cell r="AA733">
            <v>16.600000000000001</v>
          </cell>
          <cell r="AC733">
            <v>500460</v>
          </cell>
          <cell r="AD733">
            <v>500460</v>
          </cell>
          <cell r="AE733">
            <v>0</v>
          </cell>
        </row>
        <row r="734">
          <cell r="I734" t="str">
            <v>Abakaliki Team 3</v>
          </cell>
          <cell r="L734">
            <v>0</v>
          </cell>
          <cell r="O734">
            <v>0</v>
          </cell>
          <cell r="R734">
            <v>0</v>
          </cell>
          <cell r="U734">
            <v>0</v>
          </cell>
          <cell r="X734">
            <v>0</v>
          </cell>
          <cell r="AA734">
            <v>0</v>
          </cell>
          <cell r="AC734">
            <v>0</v>
          </cell>
          <cell r="AD734">
            <v>0</v>
          </cell>
          <cell r="AE734">
            <v>0</v>
          </cell>
        </row>
        <row r="735">
          <cell r="I735" t="str">
            <v>Abakaliki Team 4</v>
          </cell>
          <cell r="L735">
            <v>0</v>
          </cell>
          <cell r="O735">
            <v>0</v>
          </cell>
          <cell r="R735">
            <v>0</v>
          </cell>
          <cell r="U735">
            <v>0</v>
          </cell>
          <cell r="X735">
            <v>0</v>
          </cell>
          <cell r="AA735">
            <v>0</v>
          </cell>
          <cell r="AC735">
            <v>0</v>
          </cell>
          <cell r="AD735">
            <v>0</v>
          </cell>
          <cell r="AE735">
            <v>0</v>
          </cell>
        </row>
        <row r="736">
          <cell r="I736" t="str">
            <v>Onitsha Team 1</v>
          </cell>
          <cell r="L736">
            <v>7</v>
          </cell>
          <cell r="O736">
            <v>0</v>
          </cell>
          <cell r="R736">
            <v>79</v>
          </cell>
          <cell r="U736">
            <v>60</v>
          </cell>
          <cell r="X736">
            <v>70</v>
          </cell>
          <cell r="AA736">
            <v>83.7</v>
          </cell>
          <cell r="AC736">
            <v>2132088</v>
          </cell>
          <cell r="AD736">
            <v>2132088</v>
          </cell>
          <cell r="AE736">
            <v>0</v>
          </cell>
        </row>
        <row r="737">
          <cell r="I737" t="str">
            <v>Onitsha Team 2</v>
          </cell>
          <cell r="L737">
            <v>7</v>
          </cell>
          <cell r="O737">
            <v>0</v>
          </cell>
          <cell r="R737">
            <v>25</v>
          </cell>
          <cell r="U737">
            <v>32.1</v>
          </cell>
          <cell r="X737">
            <v>33</v>
          </cell>
          <cell r="AA737">
            <v>44</v>
          </cell>
          <cell r="AC737">
            <v>898452</v>
          </cell>
          <cell r="AD737">
            <v>898452</v>
          </cell>
          <cell r="AE737">
            <v>0</v>
          </cell>
        </row>
        <row r="738">
          <cell r="I738" t="str">
            <v>Onitsha Team 3</v>
          </cell>
          <cell r="L738">
            <v>7</v>
          </cell>
          <cell r="O738">
            <v>0</v>
          </cell>
          <cell r="R738">
            <v>75</v>
          </cell>
          <cell r="U738">
            <v>31</v>
          </cell>
          <cell r="X738">
            <v>83.7</v>
          </cell>
          <cell r="AA738">
            <v>80</v>
          </cell>
          <cell r="AC738">
            <v>2063406</v>
          </cell>
          <cell r="AD738">
            <v>2063406</v>
          </cell>
          <cell r="AE738">
            <v>0</v>
          </cell>
        </row>
        <row r="739">
          <cell r="I739" t="str">
            <v>Onitsha Team 4</v>
          </cell>
          <cell r="L739">
            <v>7</v>
          </cell>
          <cell r="O739">
            <v>0</v>
          </cell>
          <cell r="R739">
            <v>12</v>
          </cell>
          <cell r="U739">
            <v>7</v>
          </cell>
          <cell r="X739">
            <v>19.399999999999999</v>
          </cell>
          <cell r="AA739">
            <v>89</v>
          </cell>
          <cell r="AC739">
            <v>852732</v>
          </cell>
          <cell r="AD739">
            <v>852732</v>
          </cell>
          <cell r="AE739">
            <v>0</v>
          </cell>
        </row>
        <row r="740">
          <cell r="I740" t="str">
            <v>ASABA Team 1</v>
          </cell>
          <cell r="L740">
            <v>10</v>
          </cell>
          <cell r="O740">
            <v>20</v>
          </cell>
          <cell r="R740">
            <v>30</v>
          </cell>
          <cell r="U740">
            <v>30</v>
          </cell>
          <cell r="X740">
            <v>4.9000000000000004</v>
          </cell>
          <cell r="AA740">
            <v>8.9</v>
          </cell>
          <cell r="AC740">
            <v>751158</v>
          </cell>
          <cell r="AD740">
            <v>751158</v>
          </cell>
          <cell r="AE740">
            <v>0</v>
          </cell>
        </row>
        <row r="741">
          <cell r="I741" t="str">
            <v>ASABA Team 2</v>
          </cell>
          <cell r="L741">
            <v>0</v>
          </cell>
          <cell r="O741">
            <v>0</v>
          </cell>
          <cell r="R741">
            <v>0</v>
          </cell>
          <cell r="U741">
            <v>0</v>
          </cell>
          <cell r="X741">
            <v>0</v>
          </cell>
          <cell r="AA741">
            <v>0</v>
          </cell>
          <cell r="AC741">
            <v>0</v>
          </cell>
          <cell r="AD741">
            <v>0</v>
          </cell>
          <cell r="AE741">
            <v>0</v>
          </cell>
        </row>
        <row r="742">
          <cell r="I742" t="str">
            <v>ASABA Team 3</v>
          </cell>
          <cell r="L742">
            <v>0</v>
          </cell>
          <cell r="O742">
            <v>0</v>
          </cell>
          <cell r="R742">
            <v>0</v>
          </cell>
          <cell r="U742">
            <v>0</v>
          </cell>
          <cell r="X742">
            <v>0</v>
          </cell>
          <cell r="AA742">
            <v>0</v>
          </cell>
          <cell r="AC742">
            <v>0</v>
          </cell>
          <cell r="AD742">
            <v>0</v>
          </cell>
          <cell r="AE742">
            <v>0</v>
          </cell>
        </row>
        <row r="743">
          <cell r="I743" t="str">
            <v>ASABA Team 4</v>
          </cell>
          <cell r="L743">
            <v>0</v>
          </cell>
          <cell r="O743">
            <v>0</v>
          </cell>
          <cell r="R743">
            <v>0</v>
          </cell>
          <cell r="U743">
            <v>0</v>
          </cell>
          <cell r="X743">
            <v>0</v>
          </cell>
          <cell r="AA743">
            <v>0</v>
          </cell>
          <cell r="AC743">
            <v>0</v>
          </cell>
          <cell r="AD743">
            <v>0</v>
          </cell>
          <cell r="AE743">
            <v>0</v>
          </cell>
        </row>
        <row r="744">
          <cell r="I744" t="str">
            <v>OWERRI Team 1</v>
          </cell>
          <cell r="L744">
            <v>8</v>
          </cell>
          <cell r="O744">
            <v>26</v>
          </cell>
          <cell r="R744">
            <v>33</v>
          </cell>
          <cell r="U744">
            <v>14.9</v>
          </cell>
          <cell r="X744">
            <v>15</v>
          </cell>
          <cell r="AA744">
            <v>55</v>
          </cell>
          <cell r="AC744">
            <v>1158828</v>
          </cell>
          <cell r="AD744">
            <v>1158828</v>
          </cell>
          <cell r="AE744">
            <v>0</v>
          </cell>
        </row>
        <row r="745">
          <cell r="I745" t="str">
            <v>OWERRI Team 2</v>
          </cell>
          <cell r="L745">
            <v>8</v>
          </cell>
          <cell r="O745">
            <v>20</v>
          </cell>
          <cell r="R745">
            <v>42.2</v>
          </cell>
          <cell r="U745">
            <v>19.899999999999999</v>
          </cell>
          <cell r="X745">
            <v>40</v>
          </cell>
          <cell r="AA745">
            <v>40</v>
          </cell>
          <cell r="AC745">
            <v>1298088</v>
          </cell>
          <cell r="AD745">
            <v>1298088</v>
          </cell>
          <cell r="AE745">
            <v>0</v>
          </cell>
        </row>
        <row r="746">
          <cell r="I746" t="str">
            <v>OWERRI Team 3</v>
          </cell>
          <cell r="L746">
            <v>8</v>
          </cell>
          <cell r="O746">
            <v>24</v>
          </cell>
          <cell r="R746">
            <v>30</v>
          </cell>
          <cell r="U746">
            <v>15</v>
          </cell>
          <cell r="X746">
            <v>30</v>
          </cell>
          <cell r="AA746">
            <v>45.1</v>
          </cell>
          <cell r="AC746">
            <v>1142184</v>
          </cell>
          <cell r="AD746">
            <v>1142184</v>
          </cell>
          <cell r="AE746">
            <v>0</v>
          </cell>
        </row>
        <row r="747">
          <cell r="I747" t="str">
            <v>OWERRI Team 4</v>
          </cell>
          <cell r="L747">
            <v>0</v>
          </cell>
          <cell r="O747">
            <v>0</v>
          </cell>
          <cell r="R747">
            <v>0</v>
          </cell>
          <cell r="U747">
            <v>0</v>
          </cell>
          <cell r="X747">
            <v>0</v>
          </cell>
          <cell r="AA747">
            <v>0</v>
          </cell>
          <cell r="AC747">
            <v>0</v>
          </cell>
          <cell r="AD747">
            <v>0</v>
          </cell>
          <cell r="AE747">
            <v>0</v>
          </cell>
        </row>
        <row r="748">
          <cell r="I748" t="str">
            <v>ABA Team 1</v>
          </cell>
          <cell r="L748">
            <v>8</v>
          </cell>
          <cell r="O748">
            <v>9</v>
          </cell>
          <cell r="R748">
            <v>12</v>
          </cell>
          <cell r="U748">
            <v>18.899999999999999</v>
          </cell>
          <cell r="X748">
            <v>50</v>
          </cell>
          <cell r="AA748">
            <v>50</v>
          </cell>
          <cell r="AC748">
            <v>947928</v>
          </cell>
          <cell r="AD748">
            <v>947928</v>
          </cell>
          <cell r="AE748">
            <v>0</v>
          </cell>
        </row>
        <row r="749">
          <cell r="I749" t="str">
            <v>ABA Team 2</v>
          </cell>
          <cell r="L749">
            <v>8</v>
          </cell>
          <cell r="O749">
            <v>13</v>
          </cell>
          <cell r="R749">
            <v>10</v>
          </cell>
          <cell r="U749">
            <v>11.8</v>
          </cell>
          <cell r="X749">
            <v>50</v>
          </cell>
          <cell r="AA749">
            <v>31.5</v>
          </cell>
          <cell r="AC749">
            <v>828096</v>
          </cell>
          <cell r="AD749">
            <v>828096</v>
          </cell>
          <cell r="AE749">
            <v>0</v>
          </cell>
        </row>
        <row r="750">
          <cell r="I750" t="str">
            <v>ABA Team 3</v>
          </cell>
          <cell r="L750">
            <v>5</v>
          </cell>
          <cell r="O750">
            <v>9.5</v>
          </cell>
          <cell r="R750">
            <v>14</v>
          </cell>
          <cell r="U750">
            <v>34.5</v>
          </cell>
          <cell r="X750">
            <v>30</v>
          </cell>
          <cell r="AA750">
            <v>40</v>
          </cell>
          <cell r="AC750">
            <v>827820</v>
          </cell>
          <cell r="AD750">
            <v>827820</v>
          </cell>
          <cell r="AE750">
            <v>0</v>
          </cell>
        </row>
        <row r="751">
          <cell r="I751" t="str">
            <v>ABA Team 4</v>
          </cell>
          <cell r="L751">
            <v>5</v>
          </cell>
          <cell r="O751">
            <v>10</v>
          </cell>
          <cell r="R751">
            <v>20</v>
          </cell>
          <cell r="U751">
            <v>30</v>
          </cell>
          <cell r="X751">
            <v>31</v>
          </cell>
          <cell r="AA751">
            <v>24</v>
          </cell>
          <cell r="AC751">
            <v>797940</v>
          </cell>
          <cell r="AD751">
            <v>797940</v>
          </cell>
          <cell r="AE751">
            <v>0</v>
          </cell>
        </row>
        <row r="752">
          <cell r="I752" t="str">
            <v>PHC 1 Team 1</v>
          </cell>
          <cell r="L752">
            <v>12</v>
          </cell>
          <cell r="O752">
            <v>0</v>
          </cell>
          <cell r="R752">
            <v>58</v>
          </cell>
          <cell r="U752">
            <v>0</v>
          </cell>
          <cell r="X752">
            <v>80</v>
          </cell>
          <cell r="AA752">
            <v>90</v>
          </cell>
          <cell r="AC752">
            <v>1800000</v>
          </cell>
          <cell r="AD752">
            <v>1800000</v>
          </cell>
          <cell r="AE752">
            <v>0</v>
          </cell>
        </row>
        <row r="753">
          <cell r="I753" t="str">
            <v>PHC 1 Team 2</v>
          </cell>
          <cell r="L753">
            <v>11</v>
          </cell>
          <cell r="O753">
            <v>0</v>
          </cell>
          <cell r="R753">
            <v>55</v>
          </cell>
          <cell r="U753">
            <v>0</v>
          </cell>
          <cell r="X753">
            <v>70</v>
          </cell>
          <cell r="AA753">
            <v>90.7</v>
          </cell>
          <cell r="AC753">
            <v>1700568</v>
          </cell>
          <cell r="AD753">
            <v>1700568</v>
          </cell>
          <cell r="AE753">
            <v>0</v>
          </cell>
        </row>
        <row r="754">
          <cell r="I754" t="str">
            <v>PHC 1 Team 3</v>
          </cell>
          <cell r="L754">
            <v>0</v>
          </cell>
          <cell r="O754">
            <v>0</v>
          </cell>
          <cell r="R754">
            <v>0</v>
          </cell>
          <cell r="U754">
            <v>0</v>
          </cell>
          <cell r="X754">
            <v>0</v>
          </cell>
          <cell r="AA754">
            <v>0</v>
          </cell>
          <cell r="AC754">
            <v>0</v>
          </cell>
          <cell r="AD754">
            <v>0</v>
          </cell>
          <cell r="AE754">
            <v>0</v>
          </cell>
        </row>
        <row r="755">
          <cell r="I755" t="str">
            <v>PHC 1 Team 4</v>
          </cell>
          <cell r="L755">
            <v>0</v>
          </cell>
          <cell r="O755">
            <v>0</v>
          </cell>
          <cell r="R755">
            <v>0</v>
          </cell>
          <cell r="U755">
            <v>0</v>
          </cell>
          <cell r="X755">
            <v>0</v>
          </cell>
          <cell r="AA755">
            <v>0</v>
          </cell>
          <cell r="AC755">
            <v>0</v>
          </cell>
          <cell r="AD755">
            <v>0</v>
          </cell>
          <cell r="AE755">
            <v>0</v>
          </cell>
        </row>
        <row r="756">
          <cell r="I756" t="str">
            <v>PHC 2 Team 1</v>
          </cell>
          <cell r="L756">
            <v>6</v>
          </cell>
          <cell r="O756">
            <v>6</v>
          </cell>
          <cell r="R756">
            <v>40</v>
          </cell>
          <cell r="U756">
            <v>207</v>
          </cell>
          <cell r="X756">
            <v>34.9</v>
          </cell>
          <cell r="AA756">
            <v>0</v>
          </cell>
          <cell r="AC756">
            <v>1425102</v>
          </cell>
          <cell r="AD756">
            <v>1425102</v>
          </cell>
          <cell r="AE756">
            <v>0</v>
          </cell>
        </row>
        <row r="757">
          <cell r="I757" t="str">
            <v>PHC 2 Team 2</v>
          </cell>
          <cell r="L757">
            <v>5</v>
          </cell>
          <cell r="O757">
            <v>6</v>
          </cell>
          <cell r="R757">
            <v>35.9</v>
          </cell>
          <cell r="U757">
            <v>205</v>
          </cell>
          <cell r="X757">
            <v>40</v>
          </cell>
          <cell r="AA757">
            <v>0</v>
          </cell>
          <cell r="AC757">
            <v>1404240</v>
          </cell>
          <cell r="AD757">
            <v>1404240</v>
          </cell>
          <cell r="AE757">
            <v>0</v>
          </cell>
        </row>
        <row r="758">
          <cell r="I758" t="str">
            <v>PHC 2 Team 3</v>
          </cell>
          <cell r="L758">
            <v>0</v>
          </cell>
          <cell r="O758">
            <v>0</v>
          </cell>
          <cell r="R758">
            <v>0</v>
          </cell>
          <cell r="U758">
            <v>0</v>
          </cell>
          <cell r="X758">
            <v>0</v>
          </cell>
          <cell r="AA758">
            <v>0</v>
          </cell>
          <cell r="AC758">
            <v>0</v>
          </cell>
          <cell r="AD758">
            <v>0</v>
          </cell>
          <cell r="AE758">
            <v>0</v>
          </cell>
        </row>
        <row r="759">
          <cell r="I759" t="str">
            <v>PHC 2 Team 4</v>
          </cell>
          <cell r="L759">
            <v>0</v>
          </cell>
          <cell r="O759">
            <v>0</v>
          </cell>
          <cell r="R759">
            <v>0</v>
          </cell>
          <cell r="U759">
            <v>0</v>
          </cell>
          <cell r="X759">
            <v>0</v>
          </cell>
          <cell r="AA759">
            <v>0</v>
          </cell>
          <cell r="AC759">
            <v>0</v>
          </cell>
          <cell r="AD759">
            <v>0</v>
          </cell>
          <cell r="AE759">
            <v>0</v>
          </cell>
        </row>
        <row r="760">
          <cell r="I760" t="str">
            <v>BAYELSA Team 1</v>
          </cell>
          <cell r="L760">
            <v>12</v>
          </cell>
          <cell r="O760">
            <v>87</v>
          </cell>
          <cell r="R760">
            <v>0</v>
          </cell>
          <cell r="U760">
            <v>200</v>
          </cell>
          <cell r="X760">
            <v>120</v>
          </cell>
          <cell r="AA760">
            <v>127.3</v>
          </cell>
          <cell r="AC760">
            <v>3140232</v>
          </cell>
          <cell r="AD760">
            <v>3140232</v>
          </cell>
          <cell r="AE760">
            <v>0</v>
          </cell>
        </row>
        <row r="761">
          <cell r="I761" t="str">
            <v>BAYELSA Team 2</v>
          </cell>
          <cell r="L761">
            <v>4</v>
          </cell>
          <cell r="O761">
            <v>3</v>
          </cell>
          <cell r="R761">
            <v>0</v>
          </cell>
          <cell r="U761">
            <v>38.9</v>
          </cell>
          <cell r="X761">
            <v>30</v>
          </cell>
          <cell r="AA761">
            <v>7.6</v>
          </cell>
          <cell r="AC761">
            <v>403512</v>
          </cell>
          <cell r="AD761">
            <v>403512</v>
          </cell>
          <cell r="AE761">
            <v>0</v>
          </cell>
        </row>
        <row r="762">
          <cell r="I762" t="str">
            <v>BAYELSA Team 3</v>
          </cell>
          <cell r="L762">
            <v>0</v>
          </cell>
          <cell r="O762">
            <v>0</v>
          </cell>
          <cell r="R762">
            <v>0</v>
          </cell>
          <cell r="U762">
            <v>0</v>
          </cell>
          <cell r="X762">
            <v>0</v>
          </cell>
          <cell r="AA762">
            <v>0</v>
          </cell>
          <cell r="AC762">
            <v>0</v>
          </cell>
          <cell r="AD762">
            <v>0</v>
          </cell>
          <cell r="AE762">
            <v>0</v>
          </cell>
        </row>
        <row r="763">
          <cell r="I763" t="str">
            <v>BAYELSA Team 4</v>
          </cell>
          <cell r="L763">
            <v>0</v>
          </cell>
          <cell r="O763">
            <v>0</v>
          </cell>
          <cell r="R763">
            <v>0</v>
          </cell>
          <cell r="U763">
            <v>0</v>
          </cell>
          <cell r="X763">
            <v>0</v>
          </cell>
          <cell r="AA763">
            <v>0</v>
          </cell>
          <cell r="AC763">
            <v>0</v>
          </cell>
          <cell r="AD763">
            <v>0</v>
          </cell>
          <cell r="AE763">
            <v>0</v>
          </cell>
        </row>
        <row r="764">
          <cell r="I764" t="str">
            <v>UYO Team 1</v>
          </cell>
          <cell r="L764">
            <v>10</v>
          </cell>
          <cell r="O764">
            <v>26</v>
          </cell>
          <cell r="R764">
            <v>24</v>
          </cell>
          <cell r="U764">
            <v>88.1</v>
          </cell>
          <cell r="X764">
            <v>23.7</v>
          </cell>
          <cell r="AA764">
            <v>40</v>
          </cell>
          <cell r="AC764">
            <v>1244598</v>
          </cell>
          <cell r="AD764">
            <v>1244598</v>
          </cell>
          <cell r="AE764">
            <v>0</v>
          </cell>
        </row>
        <row r="765">
          <cell r="I765" t="str">
            <v>UYO Team 2</v>
          </cell>
          <cell r="L765">
            <v>5</v>
          </cell>
          <cell r="O765">
            <v>19</v>
          </cell>
          <cell r="R765">
            <v>28</v>
          </cell>
          <cell r="U765">
            <v>75</v>
          </cell>
          <cell r="X765">
            <v>6</v>
          </cell>
          <cell r="AA765">
            <v>55.3</v>
          </cell>
          <cell r="AC765">
            <v>1154112</v>
          </cell>
          <cell r="AD765">
            <v>1154112</v>
          </cell>
          <cell r="AE765">
            <v>0</v>
          </cell>
        </row>
        <row r="766">
          <cell r="I766" t="str">
            <v>UYO Team 3</v>
          </cell>
          <cell r="L766">
            <v>0</v>
          </cell>
          <cell r="O766">
            <v>0</v>
          </cell>
          <cell r="R766">
            <v>0</v>
          </cell>
          <cell r="U766">
            <v>0</v>
          </cell>
          <cell r="X766">
            <v>0</v>
          </cell>
          <cell r="AA766">
            <v>0</v>
          </cell>
          <cell r="AC766">
            <v>0</v>
          </cell>
          <cell r="AD766">
            <v>0</v>
          </cell>
          <cell r="AE766">
            <v>0</v>
          </cell>
        </row>
        <row r="767">
          <cell r="I767" t="str">
            <v>UYO Team 4</v>
          </cell>
          <cell r="L767">
            <v>0</v>
          </cell>
          <cell r="O767">
            <v>0</v>
          </cell>
          <cell r="R767">
            <v>0</v>
          </cell>
          <cell r="U767">
            <v>0</v>
          </cell>
          <cell r="X767">
            <v>0</v>
          </cell>
          <cell r="AA767">
            <v>0</v>
          </cell>
          <cell r="AC767">
            <v>0</v>
          </cell>
          <cell r="AD767">
            <v>0</v>
          </cell>
          <cell r="AE767">
            <v>0</v>
          </cell>
        </row>
        <row r="768">
          <cell r="I768" t="str">
            <v>CALABAR Team 1</v>
          </cell>
          <cell r="L768">
            <v>7</v>
          </cell>
          <cell r="O768">
            <v>3</v>
          </cell>
          <cell r="R768">
            <v>4</v>
          </cell>
          <cell r="U768">
            <v>13.1</v>
          </cell>
          <cell r="X768">
            <v>40</v>
          </cell>
          <cell r="AA768">
            <v>56.6</v>
          </cell>
          <cell r="AC768">
            <v>744576</v>
          </cell>
          <cell r="AD768">
            <v>744576</v>
          </cell>
          <cell r="AE768">
            <v>0</v>
          </cell>
        </row>
        <row r="769">
          <cell r="I769" t="str">
            <v>CALABAR Team 2</v>
          </cell>
          <cell r="L769">
            <v>8</v>
          </cell>
          <cell r="O769">
            <v>0</v>
          </cell>
          <cell r="R769">
            <v>0</v>
          </cell>
          <cell r="U769">
            <v>69.2</v>
          </cell>
          <cell r="X769">
            <v>0</v>
          </cell>
          <cell r="AA769">
            <v>50</v>
          </cell>
          <cell r="AC769">
            <v>527904</v>
          </cell>
          <cell r="AD769">
            <v>527904</v>
          </cell>
          <cell r="AE769">
            <v>0</v>
          </cell>
        </row>
        <row r="770">
          <cell r="I770" t="str">
            <v>CALABAR Team 3</v>
          </cell>
          <cell r="L770">
            <v>8</v>
          </cell>
          <cell r="O770">
            <v>0</v>
          </cell>
          <cell r="R770">
            <v>37.6</v>
          </cell>
          <cell r="U770">
            <v>100</v>
          </cell>
          <cell r="X770">
            <v>0</v>
          </cell>
          <cell r="AA770">
            <v>0</v>
          </cell>
          <cell r="AC770">
            <v>763200</v>
          </cell>
          <cell r="AD770">
            <v>763200</v>
          </cell>
          <cell r="AE770">
            <v>0</v>
          </cell>
        </row>
        <row r="771">
          <cell r="I771" t="str">
            <v>CALABAR Team 4</v>
          </cell>
          <cell r="L771">
            <v>0</v>
          </cell>
          <cell r="O771">
            <v>0</v>
          </cell>
          <cell r="R771">
            <v>0</v>
          </cell>
          <cell r="U771">
            <v>0</v>
          </cell>
          <cell r="X771">
            <v>0</v>
          </cell>
          <cell r="AA771">
            <v>0</v>
          </cell>
          <cell r="AC771">
            <v>0</v>
          </cell>
          <cell r="AD771">
            <v>0</v>
          </cell>
          <cell r="AE771">
            <v>0</v>
          </cell>
        </row>
        <row r="772">
          <cell r="I772" t="str">
            <v>IBADAN I Team 1</v>
          </cell>
          <cell r="L772">
            <v>4</v>
          </cell>
          <cell r="O772">
            <v>25</v>
          </cell>
          <cell r="R772">
            <v>25</v>
          </cell>
          <cell r="X772">
            <v>25</v>
          </cell>
          <cell r="AA772">
            <v>24</v>
          </cell>
          <cell r="AC772">
            <v>880260</v>
          </cell>
          <cell r="AD772">
            <v>880260</v>
          </cell>
          <cell r="AE772">
            <v>0</v>
          </cell>
        </row>
        <row r="773">
          <cell r="I773" t="str">
            <v>IBADAN I Team 2</v>
          </cell>
          <cell r="L773">
            <v>4</v>
          </cell>
          <cell r="O773">
            <v>25</v>
          </cell>
          <cell r="R773">
            <v>25</v>
          </cell>
          <cell r="X773">
            <v>25</v>
          </cell>
          <cell r="AA773">
            <v>15.516</v>
          </cell>
          <cell r="AC773">
            <v>827319.84</v>
          </cell>
          <cell r="AD773">
            <v>827319.84</v>
          </cell>
          <cell r="AE773">
            <v>0</v>
          </cell>
        </row>
        <row r="774">
          <cell r="I774" t="str">
            <v>IBADAN I Team 3</v>
          </cell>
          <cell r="L774">
            <v>4</v>
          </cell>
          <cell r="O774">
            <v>25</v>
          </cell>
          <cell r="R774">
            <v>25</v>
          </cell>
          <cell r="X774">
            <v>25</v>
          </cell>
          <cell r="AA774">
            <v>15</v>
          </cell>
          <cell r="AC774">
            <v>824100</v>
          </cell>
          <cell r="AD774">
            <v>824100</v>
          </cell>
          <cell r="AE774">
            <v>0</v>
          </cell>
        </row>
        <row r="775">
          <cell r="I775" t="str">
            <v>IBADAN I Team 4</v>
          </cell>
          <cell r="L775">
            <v>4</v>
          </cell>
          <cell r="O775">
            <v>25</v>
          </cell>
          <cell r="R775">
            <v>25</v>
          </cell>
          <cell r="X775">
            <v>25</v>
          </cell>
          <cell r="AA775">
            <v>20</v>
          </cell>
          <cell r="AC775">
            <v>855300</v>
          </cell>
          <cell r="AD775">
            <v>855300</v>
          </cell>
          <cell r="AE775">
            <v>0</v>
          </cell>
        </row>
        <row r="776">
          <cell r="I776" t="str">
            <v>IBADAN II Team 1</v>
          </cell>
          <cell r="L776">
            <v>4</v>
          </cell>
          <cell r="O776">
            <v>5</v>
          </cell>
          <cell r="R776">
            <v>16</v>
          </cell>
          <cell r="X776">
            <v>6.5</v>
          </cell>
          <cell r="AA776">
            <v>6</v>
          </cell>
          <cell r="AC776">
            <v>325710</v>
          </cell>
          <cell r="AD776">
            <v>325710</v>
          </cell>
          <cell r="AE776">
            <v>0</v>
          </cell>
        </row>
        <row r="777">
          <cell r="I777" t="str">
            <v>IBADAN II Team 2</v>
          </cell>
          <cell r="L777">
            <v>4</v>
          </cell>
          <cell r="O777">
            <v>5</v>
          </cell>
          <cell r="R777">
            <v>16</v>
          </cell>
          <cell r="X777">
            <v>6.6</v>
          </cell>
          <cell r="AA777">
            <v>5.5819999999999999</v>
          </cell>
          <cell r="AC777">
            <v>323779.68</v>
          </cell>
          <cell r="AD777">
            <v>323779.68</v>
          </cell>
          <cell r="AE777">
            <v>0</v>
          </cell>
        </row>
        <row r="778">
          <cell r="I778" t="str">
            <v>IBADAN II Team 3</v>
          </cell>
          <cell r="L778">
            <v>4</v>
          </cell>
          <cell r="O778">
            <v>5</v>
          </cell>
          <cell r="R778">
            <v>16</v>
          </cell>
          <cell r="X778">
            <v>6.7</v>
          </cell>
          <cell r="AA778">
            <v>5</v>
          </cell>
          <cell r="AC778">
            <v>320826</v>
          </cell>
          <cell r="AD778">
            <v>320826</v>
          </cell>
          <cell r="AE778">
            <v>0</v>
          </cell>
        </row>
        <row r="779">
          <cell r="I779" t="str">
            <v>IBADAN II Team 4</v>
          </cell>
          <cell r="L779">
            <v>4</v>
          </cell>
          <cell r="O779">
            <v>5</v>
          </cell>
          <cell r="R779">
            <v>16</v>
          </cell>
          <cell r="X779">
            <v>6.7</v>
          </cell>
          <cell r="AA779">
            <v>5</v>
          </cell>
          <cell r="AC779">
            <v>320826</v>
          </cell>
          <cell r="AD779">
            <v>320826</v>
          </cell>
          <cell r="AE779">
            <v>0</v>
          </cell>
        </row>
        <row r="780">
          <cell r="I780" t="str">
            <v>OSHOGBO Team 1</v>
          </cell>
          <cell r="L780">
            <v>5</v>
          </cell>
          <cell r="O780">
            <v>2</v>
          </cell>
          <cell r="R780">
            <v>4.2</v>
          </cell>
          <cell r="X780">
            <v>6.5</v>
          </cell>
          <cell r="AA780">
            <v>9.266</v>
          </cell>
          <cell r="AC780">
            <v>173169.84</v>
          </cell>
          <cell r="AD780">
            <v>173169.84</v>
          </cell>
          <cell r="AE780">
            <v>0</v>
          </cell>
        </row>
        <row r="781">
          <cell r="I781" t="str">
            <v>OSHOGBO Team 2</v>
          </cell>
          <cell r="L781">
            <v>3</v>
          </cell>
          <cell r="O781">
            <v>2</v>
          </cell>
          <cell r="R781">
            <v>4.33</v>
          </cell>
          <cell r="X781">
            <v>6.5</v>
          </cell>
          <cell r="AA781">
            <v>8</v>
          </cell>
          <cell r="AC781">
            <v>166830</v>
          </cell>
          <cell r="AD781">
            <v>166830</v>
          </cell>
          <cell r="AE781">
            <v>0</v>
          </cell>
        </row>
        <row r="782">
          <cell r="I782" t="str">
            <v>OSHOGBO Team 3</v>
          </cell>
          <cell r="L782">
            <v>0</v>
          </cell>
          <cell r="O782">
            <v>0</v>
          </cell>
          <cell r="R782">
            <v>0</v>
          </cell>
          <cell r="X782">
            <v>0</v>
          </cell>
          <cell r="AA782">
            <v>0</v>
          </cell>
          <cell r="AC782">
            <v>0</v>
          </cell>
          <cell r="AD782">
            <v>0</v>
          </cell>
          <cell r="AE782">
            <v>0</v>
          </cell>
        </row>
        <row r="783">
          <cell r="I783" t="str">
            <v>OSHOGBO Team 4</v>
          </cell>
          <cell r="L783">
            <v>0</v>
          </cell>
          <cell r="O783">
            <v>0</v>
          </cell>
          <cell r="R783">
            <v>0</v>
          </cell>
          <cell r="X783">
            <v>0</v>
          </cell>
          <cell r="AA783">
            <v>0</v>
          </cell>
          <cell r="AC783">
            <v>0</v>
          </cell>
          <cell r="AD783">
            <v>0</v>
          </cell>
          <cell r="AE783">
            <v>0</v>
          </cell>
        </row>
        <row r="784">
          <cell r="I784" t="str">
            <v>ILORIN  Team 1</v>
          </cell>
          <cell r="L784">
            <v>6</v>
          </cell>
          <cell r="O784">
            <v>10</v>
          </cell>
          <cell r="R784">
            <v>15</v>
          </cell>
          <cell r="X784">
            <v>19.93</v>
          </cell>
          <cell r="AA784">
            <v>17</v>
          </cell>
          <cell r="AC784">
            <v>525605.4</v>
          </cell>
          <cell r="AD784">
            <v>525605.4</v>
          </cell>
          <cell r="AE784">
            <v>0</v>
          </cell>
        </row>
        <row r="785">
          <cell r="I785" t="str">
            <v>ILORIN  Team 2</v>
          </cell>
          <cell r="L785">
            <v>0</v>
          </cell>
          <cell r="O785">
            <v>0</v>
          </cell>
          <cell r="R785">
            <v>0</v>
          </cell>
          <cell r="X785">
            <v>0</v>
          </cell>
          <cell r="AA785">
            <v>0</v>
          </cell>
          <cell r="AC785">
            <v>0</v>
          </cell>
          <cell r="AD785">
            <v>0</v>
          </cell>
          <cell r="AE785">
            <v>0</v>
          </cell>
        </row>
        <row r="786">
          <cell r="I786" t="str">
            <v>ILORIN  Team 3</v>
          </cell>
          <cell r="L786">
            <v>0</v>
          </cell>
          <cell r="O786">
            <v>0</v>
          </cell>
          <cell r="R786">
            <v>0</v>
          </cell>
          <cell r="X786">
            <v>0</v>
          </cell>
          <cell r="AA786">
            <v>0</v>
          </cell>
          <cell r="AC786">
            <v>0</v>
          </cell>
          <cell r="AD786">
            <v>0</v>
          </cell>
          <cell r="AE786">
            <v>0</v>
          </cell>
        </row>
        <row r="787">
          <cell r="I787" t="str">
            <v>ILORIN  Team 4</v>
          </cell>
          <cell r="L787">
            <v>0</v>
          </cell>
          <cell r="O787">
            <v>0</v>
          </cell>
          <cell r="R787">
            <v>0</v>
          </cell>
          <cell r="X787">
            <v>0</v>
          </cell>
          <cell r="AA787">
            <v>0</v>
          </cell>
          <cell r="AC787">
            <v>0</v>
          </cell>
          <cell r="AD787">
            <v>0</v>
          </cell>
          <cell r="AE787">
            <v>0</v>
          </cell>
        </row>
        <row r="788">
          <cell r="I788" t="str">
            <v>BENIN 1 Team 1</v>
          </cell>
          <cell r="L788">
            <v>5</v>
          </cell>
          <cell r="O788">
            <v>20</v>
          </cell>
          <cell r="R788">
            <v>20.14</v>
          </cell>
          <cell r="X788">
            <v>0</v>
          </cell>
          <cell r="AA788">
            <v>18.48</v>
          </cell>
          <cell r="AC788">
            <v>565795.19999999995</v>
          </cell>
          <cell r="AD788">
            <v>565795.19999999995</v>
          </cell>
          <cell r="AE788">
            <v>0</v>
          </cell>
        </row>
        <row r="789">
          <cell r="I789" t="str">
            <v>BENIN 1 Team 2</v>
          </cell>
          <cell r="L789">
            <v>5</v>
          </cell>
          <cell r="O789">
            <v>20.190000000000001</v>
          </cell>
          <cell r="R789">
            <v>20.149999999999999</v>
          </cell>
          <cell r="X789">
            <v>0</v>
          </cell>
          <cell r="AA789">
            <v>18.48</v>
          </cell>
          <cell r="AC789">
            <v>567898.80000000005</v>
          </cell>
          <cell r="AD789">
            <v>567898.80000000005</v>
          </cell>
          <cell r="AE789">
            <v>0</v>
          </cell>
        </row>
        <row r="790">
          <cell r="I790" t="str">
            <v>BENIN 1 Team 3</v>
          </cell>
          <cell r="L790">
            <v>4</v>
          </cell>
          <cell r="O790">
            <v>20.190000000000001</v>
          </cell>
          <cell r="R790">
            <v>20.149999999999999</v>
          </cell>
          <cell r="X790">
            <v>0</v>
          </cell>
          <cell r="AA790">
            <v>18.48</v>
          </cell>
          <cell r="AC790">
            <v>567898.80000000005</v>
          </cell>
          <cell r="AD790">
            <v>567898.80000000005</v>
          </cell>
          <cell r="AE790">
            <v>0</v>
          </cell>
        </row>
        <row r="791">
          <cell r="I791" t="str">
            <v>BENIN 1 Team 4</v>
          </cell>
          <cell r="L791">
            <v>0</v>
          </cell>
          <cell r="O791">
            <v>0</v>
          </cell>
          <cell r="R791">
            <v>0</v>
          </cell>
          <cell r="X791">
            <v>0</v>
          </cell>
          <cell r="AA791">
            <v>0</v>
          </cell>
          <cell r="AC791">
            <v>0</v>
          </cell>
          <cell r="AD791">
            <v>0</v>
          </cell>
          <cell r="AE791">
            <v>0</v>
          </cell>
        </row>
        <row r="792">
          <cell r="I792" t="str">
            <v>BENIN II Team 1</v>
          </cell>
          <cell r="L792">
            <v>7</v>
          </cell>
          <cell r="O792">
            <v>82</v>
          </cell>
          <cell r="R792">
            <v>60</v>
          </cell>
          <cell r="X792">
            <v>0</v>
          </cell>
          <cell r="AA792">
            <v>70</v>
          </cell>
          <cell r="AC792">
            <v>2012880</v>
          </cell>
          <cell r="AD792">
            <v>2012880</v>
          </cell>
          <cell r="AE792">
            <v>0</v>
          </cell>
        </row>
        <row r="793">
          <cell r="I793" t="str">
            <v>BENIN II Team 2</v>
          </cell>
          <cell r="L793">
            <v>7</v>
          </cell>
          <cell r="O793">
            <v>78</v>
          </cell>
          <cell r="R793">
            <v>60</v>
          </cell>
          <cell r="X793">
            <v>0</v>
          </cell>
          <cell r="AA793">
            <v>70.83</v>
          </cell>
          <cell r="AC793">
            <v>1976299.2</v>
          </cell>
          <cell r="AD793">
            <v>1976299.2</v>
          </cell>
          <cell r="AE793">
            <v>0</v>
          </cell>
        </row>
        <row r="794">
          <cell r="I794" t="str">
            <v>BENIN II Team 3</v>
          </cell>
          <cell r="L794">
            <v>0</v>
          </cell>
          <cell r="O794">
            <v>0</v>
          </cell>
          <cell r="R794">
            <v>0</v>
          </cell>
          <cell r="X794">
            <v>0</v>
          </cell>
          <cell r="AA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I795" t="str">
            <v>BENIN II Team 4</v>
          </cell>
          <cell r="L795">
            <v>0</v>
          </cell>
          <cell r="O795">
            <v>0</v>
          </cell>
          <cell r="R795">
            <v>0</v>
          </cell>
          <cell r="X795">
            <v>0</v>
          </cell>
          <cell r="AA795">
            <v>0</v>
          </cell>
          <cell r="AC795">
            <v>0</v>
          </cell>
          <cell r="AD795">
            <v>0</v>
          </cell>
          <cell r="AE795">
            <v>0</v>
          </cell>
        </row>
        <row r="796">
          <cell r="I796" t="str">
            <v>AKURE 1(Ado-Ekiti/Ondo) Team 1</v>
          </cell>
          <cell r="L796">
            <v>10</v>
          </cell>
          <cell r="O796">
            <v>20</v>
          </cell>
          <cell r="R796">
            <v>20</v>
          </cell>
          <cell r="X796">
            <v>22</v>
          </cell>
          <cell r="AA796">
            <v>19.600000000000001</v>
          </cell>
          <cell r="AC796">
            <v>720264</v>
          </cell>
          <cell r="AD796">
            <v>720264</v>
          </cell>
          <cell r="AE796">
            <v>0</v>
          </cell>
        </row>
        <row r="797">
          <cell r="I797" t="str">
            <v>AKURE 1(Ado-Ekiti/Ondo) Team 2</v>
          </cell>
          <cell r="L797">
            <v>5</v>
          </cell>
          <cell r="O797">
            <v>4.5</v>
          </cell>
          <cell r="R797">
            <v>10</v>
          </cell>
          <cell r="X797">
            <v>14.574999999999999</v>
          </cell>
          <cell r="AA797">
            <v>15.096</v>
          </cell>
          <cell r="AC797">
            <v>359997.54</v>
          </cell>
          <cell r="AD797">
            <v>359997.54</v>
          </cell>
          <cell r="AE797">
            <v>0</v>
          </cell>
        </row>
        <row r="798">
          <cell r="I798" t="str">
            <v>AKURE 1(Ado-Ekiti/Ondo) Team 3</v>
          </cell>
          <cell r="L798">
            <v>0</v>
          </cell>
          <cell r="O798">
            <v>0</v>
          </cell>
          <cell r="R798">
            <v>0</v>
          </cell>
          <cell r="X798">
            <v>0</v>
          </cell>
          <cell r="AA798">
            <v>0</v>
          </cell>
          <cell r="AC798">
            <v>0</v>
          </cell>
          <cell r="AD798">
            <v>0</v>
          </cell>
          <cell r="AE798">
            <v>0</v>
          </cell>
        </row>
        <row r="799">
          <cell r="I799" t="str">
            <v>AKURE 1(Ado-Ekiti/Ondo) Team 4</v>
          </cell>
          <cell r="L799">
            <v>0</v>
          </cell>
          <cell r="O799">
            <v>0</v>
          </cell>
          <cell r="R799">
            <v>0</v>
          </cell>
          <cell r="X799">
            <v>0</v>
          </cell>
          <cell r="AA799">
            <v>0</v>
          </cell>
          <cell r="AC799">
            <v>0</v>
          </cell>
          <cell r="AD799">
            <v>0</v>
          </cell>
          <cell r="AE799">
            <v>0</v>
          </cell>
        </row>
        <row r="800">
          <cell r="I800" t="str">
            <v>AKURE II Team 1</v>
          </cell>
          <cell r="L800">
            <v>7</v>
          </cell>
          <cell r="O800">
            <v>16</v>
          </cell>
          <cell r="R800">
            <v>17</v>
          </cell>
          <cell r="X800">
            <v>50.938000000000002</v>
          </cell>
          <cell r="AA800">
            <v>15</v>
          </cell>
          <cell r="AC800">
            <v>809999.64</v>
          </cell>
          <cell r="AD800">
            <v>809999.64</v>
          </cell>
          <cell r="AE800">
            <v>0</v>
          </cell>
        </row>
        <row r="801">
          <cell r="I801" t="str">
            <v>AKURE II Team 2</v>
          </cell>
          <cell r="L801">
            <v>0</v>
          </cell>
          <cell r="O801">
            <v>0</v>
          </cell>
          <cell r="R801">
            <v>0</v>
          </cell>
          <cell r="X801">
            <v>0</v>
          </cell>
          <cell r="AA801">
            <v>0</v>
          </cell>
          <cell r="AC801">
            <v>0</v>
          </cell>
          <cell r="AD801">
            <v>0</v>
          </cell>
          <cell r="AE801">
            <v>0</v>
          </cell>
        </row>
        <row r="802">
          <cell r="I802" t="str">
            <v>AKURE II Team 3</v>
          </cell>
          <cell r="L802">
            <v>0</v>
          </cell>
          <cell r="O802">
            <v>0</v>
          </cell>
          <cell r="R802">
            <v>0</v>
          </cell>
          <cell r="X802">
            <v>0</v>
          </cell>
          <cell r="AA802">
            <v>0</v>
          </cell>
          <cell r="AC802">
            <v>0</v>
          </cell>
          <cell r="AD802">
            <v>0</v>
          </cell>
          <cell r="AE802">
            <v>0</v>
          </cell>
        </row>
        <row r="803">
          <cell r="I803" t="str">
            <v>AKURE II Team 4</v>
          </cell>
          <cell r="L803">
            <v>0</v>
          </cell>
          <cell r="O803">
            <v>0</v>
          </cell>
          <cell r="R803">
            <v>0</v>
          </cell>
          <cell r="X803">
            <v>0</v>
          </cell>
          <cell r="AA803">
            <v>0</v>
          </cell>
          <cell r="AC803">
            <v>0</v>
          </cell>
          <cell r="AD803">
            <v>0</v>
          </cell>
          <cell r="AE803">
            <v>0</v>
          </cell>
        </row>
        <row r="804">
          <cell r="I804" t="str">
            <v>WARRI Team 1</v>
          </cell>
          <cell r="L804">
            <v>10</v>
          </cell>
          <cell r="O804">
            <v>25.823</v>
          </cell>
          <cell r="R804">
            <v>62</v>
          </cell>
          <cell r="X804">
            <v>20</v>
          </cell>
          <cell r="AA804">
            <v>20</v>
          </cell>
          <cell r="AC804">
            <v>1273992.1200000001</v>
          </cell>
          <cell r="AD804">
            <v>1273992.1200000001</v>
          </cell>
          <cell r="AE804">
            <v>0</v>
          </cell>
        </row>
        <row r="805">
          <cell r="I805" t="str">
            <v>WARRI Team 2</v>
          </cell>
          <cell r="L805">
            <v>0</v>
          </cell>
          <cell r="O805">
            <v>0</v>
          </cell>
          <cell r="R805">
            <v>0</v>
          </cell>
          <cell r="X805">
            <v>0</v>
          </cell>
          <cell r="AA805">
            <v>0</v>
          </cell>
          <cell r="AC805">
            <v>0</v>
          </cell>
          <cell r="AD805">
            <v>0</v>
          </cell>
          <cell r="AE805">
            <v>0</v>
          </cell>
        </row>
        <row r="806">
          <cell r="I806" t="str">
            <v>WARRI Team 3</v>
          </cell>
          <cell r="L806">
            <v>0</v>
          </cell>
          <cell r="O806">
            <v>0</v>
          </cell>
          <cell r="R806">
            <v>0</v>
          </cell>
          <cell r="X806">
            <v>0</v>
          </cell>
          <cell r="AA806">
            <v>0</v>
          </cell>
          <cell r="AC806">
            <v>0</v>
          </cell>
          <cell r="AD806">
            <v>0</v>
          </cell>
          <cell r="AE806">
            <v>0</v>
          </cell>
        </row>
        <row r="807">
          <cell r="I807" t="str">
            <v>WARRI Team 4</v>
          </cell>
          <cell r="L807">
            <v>0</v>
          </cell>
          <cell r="O807">
            <v>0</v>
          </cell>
          <cell r="R807">
            <v>0</v>
          </cell>
          <cell r="X807">
            <v>0</v>
          </cell>
          <cell r="AA807">
            <v>0</v>
          </cell>
          <cell r="AC807">
            <v>0</v>
          </cell>
          <cell r="AD807">
            <v>0</v>
          </cell>
          <cell r="AE807">
            <v>0</v>
          </cell>
        </row>
        <row r="808">
          <cell r="I808" t="str">
            <v>Enugu Team 1</v>
          </cell>
          <cell r="L808">
            <v>0</v>
          </cell>
          <cell r="O808">
            <v>0</v>
          </cell>
          <cell r="R808">
            <v>0</v>
          </cell>
          <cell r="U808">
            <v>0</v>
          </cell>
          <cell r="X808">
            <v>0</v>
          </cell>
          <cell r="AA808">
            <v>0</v>
          </cell>
          <cell r="AC808">
            <v>0</v>
          </cell>
          <cell r="AD808">
            <v>0</v>
          </cell>
          <cell r="AE808">
            <v>0</v>
          </cell>
        </row>
        <row r="809">
          <cell r="I809" t="str">
            <v>Enugu Team 2</v>
          </cell>
          <cell r="L809">
            <v>0</v>
          </cell>
          <cell r="O809">
            <v>0</v>
          </cell>
          <cell r="R809">
            <v>0</v>
          </cell>
          <cell r="U809">
            <v>0</v>
          </cell>
          <cell r="X809">
            <v>0</v>
          </cell>
          <cell r="AA809">
            <v>0</v>
          </cell>
          <cell r="AC809">
            <v>0</v>
          </cell>
          <cell r="AD809">
            <v>0</v>
          </cell>
          <cell r="AE809">
            <v>0</v>
          </cell>
        </row>
        <row r="810">
          <cell r="I810" t="str">
            <v>Enugu Team 3</v>
          </cell>
          <cell r="L810">
            <v>0</v>
          </cell>
          <cell r="O810">
            <v>0</v>
          </cell>
          <cell r="R810">
            <v>0</v>
          </cell>
          <cell r="U810">
            <v>0</v>
          </cell>
          <cell r="X810">
            <v>0</v>
          </cell>
          <cell r="AA810">
            <v>0</v>
          </cell>
          <cell r="AC810">
            <v>0</v>
          </cell>
          <cell r="AD810">
            <v>0</v>
          </cell>
          <cell r="AE810">
            <v>0</v>
          </cell>
        </row>
        <row r="811">
          <cell r="I811" t="str">
            <v>Enugu Team 4</v>
          </cell>
          <cell r="L811">
            <v>0</v>
          </cell>
          <cell r="O811">
            <v>0</v>
          </cell>
          <cell r="R811">
            <v>0</v>
          </cell>
          <cell r="U811">
            <v>0</v>
          </cell>
          <cell r="X811">
            <v>0</v>
          </cell>
          <cell r="AA811">
            <v>0</v>
          </cell>
          <cell r="AC811">
            <v>0</v>
          </cell>
          <cell r="AD811">
            <v>0</v>
          </cell>
          <cell r="AE811">
            <v>0</v>
          </cell>
        </row>
        <row r="812">
          <cell r="I812" t="str">
            <v>Abakaliki Team 1</v>
          </cell>
          <cell r="L812">
            <v>5</v>
          </cell>
          <cell r="O812">
            <v>18</v>
          </cell>
          <cell r="R812">
            <v>8</v>
          </cell>
          <cell r="U812">
            <v>0</v>
          </cell>
          <cell r="X812">
            <v>21</v>
          </cell>
          <cell r="AA812">
            <v>11</v>
          </cell>
          <cell r="AC812">
            <v>494940</v>
          </cell>
          <cell r="AD812">
            <v>494940</v>
          </cell>
          <cell r="AE812">
            <v>0</v>
          </cell>
        </row>
        <row r="813">
          <cell r="I813" t="str">
            <v>Abakaliki Team 2</v>
          </cell>
          <cell r="L813">
            <v>5</v>
          </cell>
          <cell r="O813">
            <v>19</v>
          </cell>
          <cell r="R813">
            <v>11.5</v>
          </cell>
          <cell r="U813">
            <v>0</v>
          </cell>
          <cell r="X813">
            <v>15</v>
          </cell>
          <cell r="AA813">
            <v>12</v>
          </cell>
          <cell r="AC813">
            <v>512940</v>
          </cell>
          <cell r="AD813">
            <v>512940</v>
          </cell>
          <cell r="AE813">
            <v>0</v>
          </cell>
        </row>
        <row r="814">
          <cell r="I814" t="str">
            <v>Abakaliki Team 3</v>
          </cell>
          <cell r="L814">
            <v>0</v>
          </cell>
          <cell r="O814">
            <v>0</v>
          </cell>
          <cell r="R814">
            <v>0</v>
          </cell>
          <cell r="U814">
            <v>0</v>
          </cell>
          <cell r="X814">
            <v>0</v>
          </cell>
          <cell r="AA814">
            <v>0</v>
          </cell>
          <cell r="AC814">
            <v>0</v>
          </cell>
          <cell r="AD814">
            <v>0</v>
          </cell>
          <cell r="AE814">
            <v>0</v>
          </cell>
        </row>
        <row r="815">
          <cell r="I815" t="str">
            <v>Abakaliki Team 4</v>
          </cell>
          <cell r="L815">
            <v>0</v>
          </cell>
          <cell r="O815">
            <v>0</v>
          </cell>
          <cell r="R815">
            <v>0</v>
          </cell>
          <cell r="U815">
            <v>0</v>
          </cell>
          <cell r="X815">
            <v>0</v>
          </cell>
          <cell r="AA815">
            <v>0</v>
          </cell>
          <cell r="AC815">
            <v>0</v>
          </cell>
          <cell r="AD815">
            <v>0</v>
          </cell>
          <cell r="AE815">
            <v>0</v>
          </cell>
        </row>
        <row r="816">
          <cell r="I816" t="str">
            <v>Onitsha Team 1</v>
          </cell>
          <cell r="L816">
            <v>7</v>
          </cell>
          <cell r="O816">
            <v>0</v>
          </cell>
          <cell r="R816">
            <v>78.7</v>
          </cell>
          <cell r="U816">
            <v>250.2</v>
          </cell>
          <cell r="X816">
            <v>0</v>
          </cell>
          <cell r="AA816">
            <v>0</v>
          </cell>
          <cell r="AC816">
            <v>1725024</v>
          </cell>
          <cell r="AD816">
            <v>1725024</v>
          </cell>
          <cell r="AE816">
            <v>0</v>
          </cell>
        </row>
        <row r="817">
          <cell r="I817" t="str">
            <v>Onitsha Team 2</v>
          </cell>
          <cell r="L817">
            <v>7</v>
          </cell>
          <cell r="O817">
            <v>0</v>
          </cell>
          <cell r="R817">
            <v>27</v>
          </cell>
          <cell r="U817">
            <v>199</v>
          </cell>
          <cell r="X817">
            <v>15</v>
          </cell>
          <cell r="AA817">
            <v>7</v>
          </cell>
          <cell r="AC817">
            <v>1090260</v>
          </cell>
          <cell r="AD817">
            <v>1090260</v>
          </cell>
          <cell r="AE817">
            <v>0</v>
          </cell>
        </row>
        <row r="818">
          <cell r="I818" t="str">
            <v>Onitsha Team 3</v>
          </cell>
          <cell r="L818">
            <v>7</v>
          </cell>
          <cell r="O818">
            <v>0</v>
          </cell>
          <cell r="R818">
            <v>66</v>
          </cell>
          <cell r="U818">
            <v>0</v>
          </cell>
          <cell r="X818">
            <v>65</v>
          </cell>
          <cell r="AA818">
            <v>55.7</v>
          </cell>
          <cell r="AC818">
            <v>1580268</v>
          </cell>
          <cell r="AD818">
            <v>1580268</v>
          </cell>
          <cell r="AE818">
            <v>0</v>
          </cell>
        </row>
        <row r="819">
          <cell r="I819" t="str">
            <v>Onitsha Team 4</v>
          </cell>
          <cell r="L819">
            <v>7</v>
          </cell>
          <cell r="O819">
            <v>0</v>
          </cell>
          <cell r="R819">
            <v>33</v>
          </cell>
          <cell r="U819">
            <v>209</v>
          </cell>
          <cell r="X819">
            <v>0</v>
          </cell>
          <cell r="AA819">
            <v>53.7</v>
          </cell>
          <cell r="AC819">
            <v>1383168</v>
          </cell>
          <cell r="AD819">
            <v>1383168</v>
          </cell>
          <cell r="AE819">
            <v>0</v>
          </cell>
        </row>
        <row r="820">
          <cell r="I820" t="str">
            <v>ASABA Team 1</v>
          </cell>
          <cell r="L820">
            <v>10</v>
          </cell>
          <cell r="O820">
            <v>5</v>
          </cell>
          <cell r="R820">
            <v>20</v>
          </cell>
          <cell r="U820">
            <v>16</v>
          </cell>
          <cell r="X820">
            <v>1</v>
          </cell>
          <cell r="AA820">
            <v>2</v>
          </cell>
          <cell r="AC820">
            <v>361380</v>
          </cell>
          <cell r="AD820">
            <v>361380</v>
          </cell>
          <cell r="AE820">
            <v>0</v>
          </cell>
        </row>
        <row r="821">
          <cell r="I821" t="str">
            <v>ASABA Team 2</v>
          </cell>
          <cell r="L821">
            <v>0</v>
          </cell>
          <cell r="O821">
            <v>0</v>
          </cell>
          <cell r="R821">
            <v>0</v>
          </cell>
          <cell r="U821">
            <v>0</v>
          </cell>
          <cell r="X821">
            <v>0</v>
          </cell>
          <cell r="AA821">
            <v>0</v>
          </cell>
          <cell r="AC821">
            <v>0</v>
          </cell>
          <cell r="AD821">
            <v>0</v>
          </cell>
          <cell r="AE821">
            <v>0</v>
          </cell>
        </row>
        <row r="822">
          <cell r="I822" t="str">
            <v>ASABA Team 3</v>
          </cell>
          <cell r="L822">
            <v>0</v>
          </cell>
          <cell r="O822">
            <v>0</v>
          </cell>
          <cell r="R822">
            <v>0</v>
          </cell>
          <cell r="U822">
            <v>0</v>
          </cell>
          <cell r="X822">
            <v>0</v>
          </cell>
          <cell r="AA822">
            <v>0</v>
          </cell>
          <cell r="AC822">
            <v>0</v>
          </cell>
          <cell r="AD822">
            <v>0</v>
          </cell>
          <cell r="AE822">
            <v>0</v>
          </cell>
        </row>
        <row r="823">
          <cell r="I823" t="str">
            <v>ASABA Team 4</v>
          </cell>
          <cell r="L823">
            <v>0</v>
          </cell>
          <cell r="O823">
            <v>0</v>
          </cell>
          <cell r="R823">
            <v>0</v>
          </cell>
          <cell r="U823">
            <v>0</v>
          </cell>
          <cell r="X823">
            <v>0</v>
          </cell>
          <cell r="AA823">
            <v>0</v>
          </cell>
          <cell r="AC823">
            <v>0</v>
          </cell>
          <cell r="AD823">
            <v>0</v>
          </cell>
          <cell r="AE823">
            <v>0</v>
          </cell>
        </row>
        <row r="824">
          <cell r="I824" t="str">
            <v>OWERRI Team 1</v>
          </cell>
          <cell r="L824">
            <v>8</v>
          </cell>
          <cell r="O824">
            <v>25</v>
          </cell>
          <cell r="R824">
            <v>31.9</v>
          </cell>
          <cell r="U824">
            <v>30.1</v>
          </cell>
          <cell r="X824">
            <v>15</v>
          </cell>
          <cell r="AA824">
            <v>45</v>
          </cell>
          <cell r="AC824">
            <v>1120212</v>
          </cell>
          <cell r="AD824">
            <v>1120212</v>
          </cell>
          <cell r="AE824">
            <v>0</v>
          </cell>
        </row>
        <row r="825">
          <cell r="I825" t="str">
            <v>OWERRI Team 2</v>
          </cell>
          <cell r="L825">
            <v>8</v>
          </cell>
          <cell r="O825">
            <v>23</v>
          </cell>
          <cell r="R825">
            <v>35</v>
          </cell>
          <cell r="U825">
            <v>29.9</v>
          </cell>
          <cell r="X825">
            <v>30</v>
          </cell>
          <cell r="AA825">
            <v>55</v>
          </cell>
          <cell r="AC825">
            <v>1300008</v>
          </cell>
          <cell r="AD825">
            <v>1300008</v>
          </cell>
          <cell r="AE825">
            <v>0</v>
          </cell>
        </row>
        <row r="826">
          <cell r="I826" t="str">
            <v>OWERRI Team 3</v>
          </cell>
          <cell r="L826">
            <v>8</v>
          </cell>
          <cell r="O826">
            <v>20</v>
          </cell>
          <cell r="R826">
            <v>35</v>
          </cell>
          <cell r="U826">
            <v>16.3</v>
          </cell>
          <cell r="X826">
            <v>25</v>
          </cell>
          <cell r="AA826">
            <v>45</v>
          </cell>
          <cell r="AC826">
            <v>1129956</v>
          </cell>
          <cell r="AD826">
            <v>1129956</v>
          </cell>
          <cell r="AE826">
            <v>0</v>
          </cell>
        </row>
        <row r="827">
          <cell r="I827" t="str">
            <v>OWERRI Team 4</v>
          </cell>
          <cell r="L827">
            <v>0</v>
          </cell>
          <cell r="O827">
            <v>0</v>
          </cell>
          <cell r="R827">
            <v>0</v>
          </cell>
          <cell r="U827">
            <v>0</v>
          </cell>
          <cell r="X827">
            <v>0</v>
          </cell>
          <cell r="AA827">
            <v>0</v>
          </cell>
          <cell r="AC827">
            <v>0</v>
          </cell>
          <cell r="AD827">
            <v>0</v>
          </cell>
          <cell r="AE827">
            <v>0</v>
          </cell>
        </row>
        <row r="828">
          <cell r="I828" t="str">
            <v>ABA Team 1</v>
          </cell>
          <cell r="L828">
            <v>8</v>
          </cell>
          <cell r="O828">
            <v>8</v>
          </cell>
          <cell r="R828">
            <v>18</v>
          </cell>
          <cell r="U828">
            <v>30</v>
          </cell>
          <cell r="X828">
            <v>37</v>
          </cell>
          <cell r="AA828">
            <v>45.4</v>
          </cell>
          <cell r="AC828">
            <v>927276</v>
          </cell>
          <cell r="AD828">
            <v>927276</v>
          </cell>
          <cell r="AE828">
            <v>0</v>
          </cell>
        </row>
        <row r="829">
          <cell r="I829" t="str">
            <v>ABA Team 2</v>
          </cell>
          <cell r="L829">
            <v>8</v>
          </cell>
          <cell r="O829">
            <v>10</v>
          </cell>
          <cell r="R829">
            <v>12</v>
          </cell>
          <cell r="U829">
            <v>30</v>
          </cell>
          <cell r="X829">
            <v>37</v>
          </cell>
          <cell r="AA829">
            <v>38.5</v>
          </cell>
          <cell r="AC829">
            <v>833100</v>
          </cell>
          <cell r="AD829">
            <v>833100</v>
          </cell>
          <cell r="AE829">
            <v>0</v>
          </cell>
        </row>
        <row r="830">
          <cell r="I830" t="str">
            <v>ABA Team 3</v>
          </cell>
          <cell r="L830">
            <v>5</v>
          </cell>
          <cell r="O830">
            <v>10</v>
          </cell>
          <cell r="R830">
            <v>18</v>
          </cell>
          <cell r="U830">
            <v>30</v>
          </cell>
          <cell r="X830">
            <v>27</v>
          </cell>
          <cell r="AA830">
            <v>35.700000000000003</v>
          </cell>
          <cell r="AC830">
            <v>819828</v>
          </cell>
          <cell r="AD830">
            <v>819828</v>
          </cell>
          <cell r="AE830">
            <v>0</v>
          </cell>
        </row>
        <row r="831">
          <cell r="I831" t="str">
            <v>ABA Team 4</v>
          </cell>
          <cell r="L831">
            <v>5</v>
          </cell>
          <cell r="O831">
            <v>10</v>
          </cell>
          <cell r="R831">
            <v>15</v>
          </cell>
          <cell r="U831">
            <v>30</v>
          </cell>
          <cell r="X831">
            <v>29</v>
          </cell>
          <cell r="AA831">
            <v>31.6</v>
          </cell>
          <cell r="AC831">
            <v>771804</v>
          </cell>
          <cell r="AD831">
            <v>771804</v>
          </cell>
          <cell r="AE831">
            <v>0</v>
          </cell>
        </row>
        <row r="832">
          <cell r="I832" t="str">
            <v>PHC 1 Team 1</v>
          </cell>
          <cell r="L832">
            <v>12</v>
          </cell>
          <cell r="O832">
            <v>0</v>
          </cell>
          <cell r="R832">
            <v>47</v>
          </cell>
          <cell r="U832">
            <v>0</v>
          </cell>
          <cell r="X832">
            <v>35.700000000000003</v>
          </cell>
          <cell r="AA832">
            <v>0</v>
          </cell>
          <cell r="AC832">
            <v>806046</v>
          </cell>
          <cell r="AD832">
            <v>806046</v>
          </cell>
          <cell r="AE832">
            <v>0</v>
          </cell>
        </row>
        <row r="833">
          <cell r="I833" t="str">
            <v>PHC 1 Team 2</v>
          </cell>
          <cell r="L833">
            <v>12</v>
          </cell>
          <cell r="O833">
            <v>0</v>
          </cell>
          <cell r="R833">
            <v>89</v>
          </cell>
          <cell r="U833">
            <v>0</v>
          </cell>
          <cell r="X833">
            <v>132</v>
          </cell>
          <cell r="AA833">
            <v>130</v>
          </cell>
          <cell r="AC833">
            <v>2774160</v>
          </cell>
          <cell r="AD833">
            <v>2774160</v>
          </cell>
          <cell r="AE833">
            <v>0</v>
          </cell>
        </row>
        <row r="834">
          <cell r="I834" t="str">
            <v>PHC 1 Team 3</v>
          </cell>
          <cell r="L834">
            <v>0</v>
          </cell>
          <cell r="O834">
            <v>0</v>
          </cell>
          <cell r="R834">
            <v>0</v>
          </cell>
          <cell r="U834">
            <v>0</v>
          </cell>
          <cell r="X834">
            <v>0</v>
          </cell>
          <cell r="AA834">
            <v>0</v>
          </cell>
          <cell r="AC834">
            <v>0</v>
          </cell>
          <cell r="AD834">
            <v>0</v>
          </cell>
          <cell r="AE834">
            <v>0</v>
          </cell>
        </row>
        <row r="835">
          <cell r="I835" t="str">
            <v>PHC 1 Team 4</v>
          </cell>
          <cell r="L835">
            <v>0</v>
          </cell>
          <cell r="O835">
            <v>0</v>
          </cell>
          <cell r="R835">
            <v>0</v>
          </cell>
          <cell r="U835">
            <v>0</v>
          </cell>
          <cell r="X835">
            <v>0</v>
          </cell>
          <cell r="AA835">
            <v>0</v>
          </cell>
          <cell r="AC835">
            <v>0</v>
          </cell>
          <cell r="AD835">
            <v>0</v>
          </cell>
          <cell r="AE835">
            <v>0</v>
          </cell>
        </row>
        <row r="836">
          <cell r="I836" t="str">
            <v>PHC 2 Team 1</v>
          </cell>
          <cell r="L836">
            <v>6</v>
          </cell>
          <cell r="O836">
            <v>6</v>
          </cell>
          <cell r="R836">
            <v>19</v>
          </cell>
          <cell r="U836">
            <v>331</v>
          </cell>
          <cell r="X836">
            <v>15</v>
          </cell>
          <cell r="AA836">
            <v>0</v>
          </cell>
          <cell r="AC836">
            <v>1425060</v>
          </cell>
          <cell r="AD836">
            <v>1425060</v>
          </cell>
          <cell r="AE836">
            <v>0</v>
          </cell>
        </row>
        <row r="837">
          <cell r="I837" t="str">
            <v>PHC 2 Team 2</v>
          </cell>
          <cell r="L837">
            <v>5</v>
          </cell>
          <cell r="O837">
            <v>6</v>
          </cell>
          <cell r="R837">
            <v>17</v>
          </cell>
          <cell r="U837">
            <v>334.2</v>
          </cell>
          <cell r="X837">
            <v>14</v>
          </cell>
          <cell r="AA837">
            <v>0</v>
          </cell>
          <cell r="AC837">
            <v>1404264</v>
          </cell>
          <cell r="AD837">
            <v>1404264</v>
          </cell>
          <cell r="AE837">
            <v>0</v>
          </cell>
        </row>
        <row r="838">
          <cell r="I838" t="str">
            <v>PHC 2 Team 3</v>
          </cell>
          <cell r="L838">
            <v>0</v>
          </cell>
          <cell r="O838">
            <v>0</v>
          </cell>
          <cell r="R838">
            <v>0</v>
          </cell>
          <cell r="U838">
            <v>0</v>
          </cell>
          <cell r="X838">
            <v>0</v>
          </cell>
          <cell r="AA838">
            <v>0</v>
          </cell>
          <cell r="AC838">
            <v>0</v>
          </cell>
          <cell r="AD838">
            <v>0</v>
          </cell>
          <cell r="AE838">
            <v>0</v>
          </cell>
        </row>
        <row r="839">
          <cell r="I839" t="str">
            <v>PHC 2 Team 4</v>
          </cell>
          <cell r="L839">
            <v>0</v>
          </cell>
          <cell r="O839">
            <v>0</v>
          </cell>
          <cell r="R839">
            <v>0</v>
          </cell>
          <cell r="U839">
            <v>0</v>
          </cell>
          <cell r="X839">
            <v>0</v>
          </cell>
          <cell r="AA839">
            <v>0</v>
          </cell>
          <cell r="AC839">
            <v>0</v>
          </cell>
          <cell r="AD839">
            <v>0</v>
          </cell>
          <cell r="AE839">
            <v>0</v>
          </cell>
        </row>
        <row r="840">
          <cell r="I840" t="str">
            <v>BAYELSA Team 1</v>
          </cell>
          <cell r="L840">
            <v>5</v>
          </cell>
          <cell r="O840">
            <v>41</v>
          </cell>
          <cell r="R840">
            <v>0</v>
          </cell>
          <cell r="U840">
            <v>87</v>
          </cell>
          <cell r="X840">
            <v>24.2</v>
          </cell>
          <cell r="AA840">
            <v>0</v>
          </cell>
          <cell r="AC840">
            <v>863556</v>
          </cell>
          <cell r="AD840">
            <v>863556</v>
          </cell>
          <cell r="AE840">
            <v>0</v>
          </cell>
        </row>
        <row r="841">
          <cell r="I841" t="str">
            <v>BAYELSA Team 2</v>
          </cell>
          <cell r="L841">
            <v>9</v>
          </cell>
          <cell r="O841">
            <v>95</v>
          </cell>
          <cell r="R841">
            <v>0</v>
          </cell>
          <cell r="U841">
            <v>127.1</v>
          </cell>
          <cell r="X841">
            <v>80</v>
          </cell>
          <cell r="AA841">
            <v>63.7</v>
          </cell>
          <cell r="AC841">
            <v>2328240</v>
          </cell>
          <cell r="AD841">
            <v>2328240</v>
          </cell>
          <cell r="AE841">
            <v>0</v>
          </cell>
        </row>
        <row r="842">
          <cell r="I842" t="str">
            <v>BAYELSA Team 3</v>
          </cell>
          <cell r="L842">
            <v>0</v>
          </cell>
          <cell r="O842">
            <v>0</v>
          </cell>
          <cell r="R842">
            <v>0</v>
          </cell>
          <cell r="U842">
            <v>0</v>
          </cell>
          <cell r="X842">
            <v>0</v>
          </cell>
          <cell r="AA842">
            <v>0</v>
          </cell>
          <cell r="AC842">
            <v>0</v>
          </cell>
          <cell r="AD842">
            <v>0</v>
          </cell>
          <cell r="AE842">
            <v>0</v>
          </cell>
        </row>
        <row r="843">
          <cell r="I843" t="str">
            <v>BAYELSA Team 4</v>
          </cell>
          <cell r="L843">
            <v>0</v>
          </cell>
          <cell r="O843">
            <v>0</v>
          </cell>
          <cell r="R843">
            <v>0</v>
          </cell>
          <cell r="U843">
            <v>0</v>
          </cell>
          <cell r="X843">
            <v>0</v>
          </cell>
          <cell r="AA843">
            <v>0</v>
          </cell>
          <cell r="AC843">
            <v>0</v>
          </cell>
          <cell r="AD843">
            <v>0</v>
          </cell>
          <cell r="AE843">
            <v>0</v>
          </cell>
        </row>
        <row r="844">
          <cell r="I844" t="str">
            <v>UYO Team 1</v>
          </cell>
          <cell r="L844">
            <v>10</v>
          </cell>
          <cell r="O844">
            <v>23</v>
          </cell>
          <cell r="R844">
            <v>29</v>
          </cell>
          <cell r="U844">
            <v>81</v>
          </cell>
          <cell r="X844">
            <v>28</v>
          </cell>
          <cell r="AA844">
            <v>26</v>
          </cell>
          <cell r="AC844">
            <v>1192920</v>
          </cell>
          <cell r="AD844">
            <v>1192920</v>
          </cell>
          <cell r="AE844">
            <v>0</v>
          </cell>
        </row>
        <row r="845">
          <cell r="I845" t="str">
            <v>UYO Team 2</v>
          </cell>
          <cell r="L845">
            <v>5</v>
          </cell>
          <cell r="O845">
            <v>16</v>
          </cell>
          <cell r="R845">
            <v>29</v>
          </cell>
          <cell r="U845">
            <v>79.099999999999994</v>
          </cell>
          <cell r="X845">
            <v>30</v>
          </cell>
          <cell r="AA845">
            <v>23.2</v>
          </cell>
          <cell r="AC845">
            <v>1110000</v>
          </cell>
          <cell r="AD845">
            <v>1110000</v>
          </cell>
          <cell r="AE845">
            <v>0</v>
          </cell>
        </row>
        <row r="846">
          <cell r="I846" t="str">
            <v>UYO Team 3</v>
          </cell>
          <cell r="L846">
            <v>0</v>
          </cell>
          <cell r="O846">
            <v>0</v>
          </cell>
          <cell r="R846">
            <v>0</v>
          </cell>
          <cell r="U846">
            <v>0</v>
          </cell>
          <cell r="X846">
            <v>0</v>
          </cell>
          <cell r="AA846">
            <v>0</v>
          </cell>
          <cell r="AC846">
            <v>0</v>
          </cell>
          <cell r="AD846">
            <v>0</v>
          </cell>
          <cell r="AE846">
            <v>0</v>
          </cell>
        </row>
        <row r="847">
          <cell r="I847" t="str">
            <v>UYO Team 4</v>
          </cell>
          <cell r="L847">
            <v>0</v>
          </cell>
          <cell r="O847">
            <v>0</v>
          </cell>
          <cell r="R847">
            <v>0</v>
          </cell>
          <cell r="U847">
            <v>0</v>
          </cell>
          <cell r="X847">
            <v>0</v>
          </cell>
          <cell r="AA847">
            <v>0</v>
          </cell>
          <cell r="AC847">
            <v>0</v>
          </cell>
          <cell r="AD847">
            <v>0</v>
          </cell>
          <cell r="AE847">
            <v>0</v>
          </cell>
        </row>
        <row r="848">
          <cell r="I848" t="str">
            <v>CALABAR Team 1</v>
          </cell>
          <cell r="L848">
            <v>7</v>
          </cell>
          <cell r="O848">
            <v>6</v>
          </cell>
          <cell r="R848">
            <v>29</v>
          </cell>
          <cell r="U848">
            <v>30.2</v>
          </cell>
          <cell r="X848">
            <v>30</v>
          </cell>
          <cell r="AA848">
            <v>26</v>
          </cell>
          <cell r="AC848">
            <v>870504</v>
          </cell>
          <cell r="AD848">
            <v>870504</v>
          </cell>
          <cell r="AE848">
            <v>0</v>
          </cell>
        </row>
        <row r="849">
          <cell r="I849" t="str">
            <v>CALABAR Team 2</v>
          </cell>
          <cell r="L849">
            <v>8</v>
          </cell>
          <cell r="O849">
            <v>0</v>
          </cell>
          <cell r="R849">
            <v>0</v>
          </cell>
          <cell r="U849">
            <v>44</v>
          </cell>
          <cell r="X849">
            <v>19</v>
          </cell>
          <cell r="AA849">
            <v>16.899999999999999</v>
          </cell>
          <cell r="AC849">
            <v>371556</v>
          </cell>
          <cell r="AD849">
            <v>371556</v>
          </cell>
          <cell r="AE849">
            <v>0</v>
          </cell>
        </row>
        <row r="850">
          <cell r="I850" t="str">
            <v>CALABAR Team 3</v>
          </cell>
          <cell r="L850">
            <v>8</v>
          </cell>
          <cell r="O850">
            <v>0</v>
          </cell>
          <cell r="R850">
            <v>46</v>
          </cell>
          <cell r="U850">
            <v>221</v>
          </cell>
          <cell r="X850">
            <v>0</v>
          </cell>
          <cell r="AA850">
            <v>68.099999999999994</v>
          </cell>
          <cell r="AC850">
            <v>1666464</v>
          </cell>
          <cell r="AD850">
            <v>1666464</v>
          </cell>
          <cell r="AE850">
            <v>0</v>
          </cell>
        </row>
        <row r="851">
          <cell r="I851" t="str">
            <v>CALABAR Team 4</v>
          </cell>
          <cell r="L851">
            <v>0</v>
          </cell>
          <cell r="O851">
            <v>0</v>
          </cell>
          <cell r="R851">
            <v>0</v>
          </cell>
          <cell r="U851">
            <v>0</v>
          </cell>
          <cell r="X851">
            <v>0</v>
          </cell>
          <cell r="AA851">
            <v>0</v>
          </cell>
          <cell r="AC851">
            <v>0</v>
          </cell>
          <cell r="AD851">
            <v>0</v>
          </cell>
          <cell r="AE851">
            <v>0</v>
          </cell>
        </row>
        <row r="852">
          <cell r="I852" t="str">
            <v>IBADAN I Team 1</v>
          </cell>
          <cell r="L852">
            <v>4</v>
          </cell>
          <cell r="O852">
            <v>30</v>
          </cell>
          <cell r="R852">
            <v>30</v>
          </cell>
          <cell r="X852">
            <v>25</v>
          </cell>
          <cell r="AA852">
            <v>26.283999999999999</v>
          </cell>
          <cell r="AC852">
            <v>1006712.16</v>
          </cell>
          <cell r="AD852">
            <v>1006712.16</v>
          </cell>
          <cell r="AE852">
            <v>0</v>
          </cell>
        </row>
        <row r="853">
          <cell r="I853" t="str">
            <v>IBADAN I Team 2</v>
          </cell>
          <cell r="L853">
            <v>4</v>
          </cell>
          <cell r="O853">
            <v>30</v>
          </cell>
          <cell r="R853">
            <v>24</v>
          </cell>
          <cell r="X853">
            <v>25</v>
          </cell>
          <cell r="AA853">
            <v>20.5</v>
          </cell>
          <cell r="AC853">
            <v>898620</v>
          </cell>
          <cell r="AD853">
            <v>898620</v>
          </cell>
          <cell r="AE853">
            <v>0</v>
          </cell>
        </row>
        <row r="854">
          <cell r="I854" t="str">
            <v>IBADAN I Team 3</v>
          </cell>
          <cell r="L854">
            <v>4</v>
          </cell>
          <cell r="O854">
            <v>20</v>
          </cell>
          <cell r="R854">
            <v>20</v>
          </cell>
          <cell r="X854">
            <v>25</v>
          </cell>
          <cell r="AA854">
            <v>20.010000000000002</v>
          </cell>
          <cell r="AC854">
            <v>743162.4</v>
          </cell>
          <cell r="AD854">
            <v>743162.4</v>
          </cell>
          <cell r="AE854">
            <v>0</v>
          </cell>
        </row>
        <row r="855">
          <cell r="I855" t="str">
            <v>IBADAN I Team 4</v>
          </cell>
          <cell r="L855">
            <v>4</v>
          </cell>
          <cell r="O855">
            <v>20</v>
          </cell>
          <cell r="R855">
            <v>20</v>
          </cell>
          <cell r="X855">
            <v>25</v>
          </cell>
          <cell r="AA855">
            <v>30</v>
          </cell>
          <cell r="AC855">
            <v>805500</v>
          </cell>
          <cell r="AD855">
            <v>805500</v>
          </cell>
          <cell r="AE855">
            <v>0</v>
          </cell>
        </row>
        <row r="856">
          <cell r="I856" t="str">
            <v>IBADAN II Team 1</v>
          </cell>
          <cell r="L856">
            <v>4</v>
          </cell>
          <cell r="O856">
            <v>6.4640000000000004</v>
          </cell>
          <cell r="R856">
            <v>15</v>
          </cell>
          <cell r="X856">
            <v>7</v>
          </cell>
          <cell r="AA856">
            <v>6</v>
          </cell>
          <cell r="AC856">
            <v>332384.15999999997</v>
          </cell>
          <cell r="AD856">
            <v>332384.15999999997</v>
          </cell>
          <cell r="AE856">
            <v>0</v>
          </cell>
        </row>
        <row r="857">
          <cell r="I857" t="str">
            <v>IBADAN II Team 2</v>
          </cell>
          <cell r="L857">
            <v>4</v>
          </cell>
          <cell r="O857">
            <v>6</v>
          </cell>
          <cell r="R857">
            <v>15</v>
          </cell>
          <cell r="X857">
            <v>7</v>
          </cell>
          <cell r="AA857">
            <v>6</v>
          </cell>
          <cell r="AC857">
            <v>327540</v>
          </cell>
          <cell r="AD857">
            <v>327540</v>
          </cell>
          <cell r="AE857">
            <v>0</v>
          </cell>
        </row>
        <row r="858">
          <cell r="I858" t="str">
            <v>IBADAN II Team 3</v>
          </cell>
          <cell r="L858">
            <v>4</v>
          </cell>
          <cell r="O858">
            <v>6</v>
          </cell>
          <cell r="R858">
            <v>13</v>
          </cell>
          <cell r="X858">
            <v>7</v>
          </cell>
          <cell r="AA858">
            <v>6</v>
          </cell>
          <cell r="AC858">
            <v>303540</v>
          </cell>
          <cell r="AD858">
            <v>303540</v>
          </cell>
          <cell r="AE858">
            <v>0</v>
          </cell>
        </row>
        <row r="859">
          <cell r="I859" t="str">
            <v>IBADAN II Team 4</v>
          </cell>
          <cell r="L859">
            <v>4</v>
          </cell>
          <cell r="O859">
            <v>6</v>
          </cell>
          <cell r="R859">
            <v>12</v>
          </cell>
          <cell r="X859">
            <v>7</v>
          </cell>
          <cell r="AA859">
            <v>6</v>
          </cell>
          <cell r="AC859">
            <v>291540</v>
          </cell>
          <cell r="AD859">
            <v>291540</v>
          </cell>
          <cell r="AE859">
            <v>0</v>
          </cell>
        </row>
        <row r="860">
          <cell r="I860" t="str">
            <v>OSHOGBO Team 1</v>
          </cell>
          <cell r="L860">
            <v>5</v>
          </cell>
          <cell r="O860">
            <v>2</v>
          </cell>
          <cell r="R860">
            <v>2</v>
          </cell>
          <cell r="X860">
            <v>6.5</v>
          </cell>
          <cell r="AA860">
            <v>8.1999999999999993</v>
          </cell>
          <cell r="AC860">
            <v>140118</v>
          </cell>
          <cell r="AD860">
            <v>140118</v>
          </cell>
          <cell r="AE860">
            <v>0</v>
          </cell>
        </row>
        <row r="861">
          <cell r="I861" t="str">
            <v>OSHOGBO Team 2</v>
          </cell>
          <cell r="L861">
            <v>3</v>
          </cell>
          <cell r="O861">
            <v>2</v>
          </cell>
          <cell r="R861">
            <v>2</v>
          </cell>
          <cell r="X861">
            <v>6.5</v>
          </cell>
          <cell r="AA861">
            <v>8.1620000000000008</v>
          </cell>
          <cell r="AC861">
            <v>139880.88</v>
          </cell>
          <cell r="AD861">
            <v>139880.88</v>
          </cell>
          <cell r="AE861">
            <v>0</v>
          </cell>
        </row>
        <row r="862">
          <cell r="I862" t="str">
            <v>OSHOGBO Team 3</v>
          </cell>
          <cell r="L862">
            <v>0</v>
          </cell>
          <cell r="O862">
            <v>0</v>
          </cell>
          <cell r="R862">
            <v>0</v>
          </cell>
          <cell r="X862">
            <v>0</v>
          </cell>
          <cell r="AA862">
            <v>0</v>
          </cell>
          <cell r="AC862">
            <v>0</v>
          </cell>
          <cell r="AD862">
            <v>0</v>
          </cell>
          <cell r="AE862">
            <v>0</v>
          </cell>
        </row>
        <row r="863">
          <cell r="I863" t="str">
            <v>OSHOGBO Team 4</v>
          </cell>
          <cell r="L863">
            <v>0</v>
          </cell>
          <cell r="O863">
            <v>0</v>
          </cell>
          <cell r="R863">
            <v>0</v>
          </cell>
          <cell r="X863">
            <v>0</v>
          </cell>
          <cell r="AA863">
            <v>0</v>
          </cell>
          <cell r="AC863">
            <v>0</v>
          </cell>
          <cell r="AD863">
            <v>0</v>
          </cell>
          <cell r="AE863">
            <v>0</v>
          </cell>
        </row>
        <row r="864">
          <cell r="I864" t="str">
            <v>ILORIN  Team 1</v>
          </cell>
          <cell r="L864">
            <v>6</v>
          </cell>
          <cell r="O864">
            <v>10</v>
          </cell>
          <cell r="R864">
            <v>13.846</v>
          </cell>
          <cell r="X864">
            <v>10</v>
          </cell>
          <cell r="AA864">
            <v>10</v>
          </cell>
          <cell r="AC864">
            <v>400752</v>
          </cell>
          <cell r="AD864">
            <v>400752</v>
          </cell>
          <cell r="AE864">
            <v>0</v>
          </cell>
        </row>
        <row r="865">
          <cell r="I865" t="str">
            <v>ILORIN  Team 2</v>
          </cell>
          <cell r="L865">
            <v>0</v>
          </cell>
          <cell r="O865">
            <v>0</v>
          </cell>
          <cell r="R865">
            <v>0</v>
          </cell>
          <cell r="X865">
            <v>0</v>
          </cell>
          <cell r="AA865">
            <v>0</v>
          </cell>
          <cell r="AC865">
            <v>0</v>
          </cell>
          <cell r="AD865">
            <v>0</v>
          </cell>
          <cell r="AE865">
            <v>0</v>
          </cell>
        </row>
        <row r="866">
          <cell r="I866" t="str">
            <v>ILORIN  Team 3</v>
          </cell>
          <cell r="L866">
            <v>0</v>
          </cell>
          <cell r="O866">
            <v>0</v>
          </cell>
          <cell r="R866">
            <v>0</v>
          </cell>
          <cell r="X866">
            <v>0</v>
          </cell>
          <cell r="AA866">
            <v>0</v>
          </cell>
          <cell r="AC866">
            <v>0</v>
          </cell>
          <cell r="AD866">
            <v>0</v>
          </cell>
          <cell r="AE866">
            <v>0</v>
          </cell>
        </row>
        <row r="867">
          <cell r="I867" t="str">
            <v>ILORIN  Team 4</v>
          </cell>
          <cell r="L867">
            <v>0</v>
          </cell>
          <cell r="O867">
            <v>0</v>
          </cell>
          <cell r="R867">
            <v>0</v>
          </cell>
          <cell r="X867">
            <v>0</v>
          </cell>
          <cell r="AA867">
            <v>0</v>
          </cell>
          <cell r="AC867">
            <v>0</v>
          </cell>
          <cell r="AD867">
            <v>0</v>
          </cell>
          <cell r="AE867">
            <v>0</v>
          </cell>
        </row>
        <row r="868">
          <cell r="I868" t="str">
            <v>BENIN 1 Team 1</v>
          </cell>
          <cell r="L868">
            <v>5</v>
          </cell>
          <cell r="O868">
            <v>20.236000000000001</v>
          </cell>
          <cell r="R868">
            <v>22</v>
          </cell>
          <cell r="X868">
            <v>0</v>
          </cell>
          <cell r="AA868">
            <v>25</v>
          </cell>
          <cell r="AC868">
            <v>631263.84</v>
          </cell>
          <cell r="AD868">
            <v>631263.84</v>
          </cell>
          <cell r="AE868">
            <v>0</v>
          </cell>
        </row>
        <row r="869">
          <cell r="I869" t="str">
            <v>BENIN 1 Team 2</v>
          </cell>
          <cell r="L869">
            <v>5</v>
          </cell>
          <cell r="O869">
            <v>20.195</v>
          </cell>
          <cell r="R869">
            <v>22</v>
          </cell>
          <cell r="X869">
            <v>0</v>
          </cell>
          <cell r="AA869">
            <v>19</v>
          </cell>
          <cell r="AC869">
            <v>593395.80000000005</v>
          </cell>
          <cell r="AD869">
            <v>593395.80000000005</v>
          </cell>
          <cell r="AE869">
            <v>0</v>
          </cell>
        </row>
        <row r="870">
          <cell r="I870" t="str">
            <v>BENIN 1 Team 3</v>
          </cell>
          <cell r="L870">
            <v>4</v>
          </cell>
          <cell r="O870">
            <v>20.195</v>
          </cell>
          <cell r="R870">
            <v>22</v>
          </cell>
          <cell r="X870">
            <v>0</v>
          </cell>
          <cell r="AA870">
            <v>19</v>
          </cell>
          <cell r="AC870">
            <v>593395.80000000005</v>
          </cell>
          <cell r="AD870">
            <v>593395.80000000005</v>
          </cell>
          <cell r="AE870">
            <v>0</v>
          </cell>
        </row>
        <row r="871">
          <cell r="I871" t="str">
            <v>BENIN 1 Team 4</v>
          </cell>
          <cell r="L871">
            <v>0</v>
          </cell>
          <cell r="O871">
            <v>0</v>
          </cell>
          <cell r="R871">
            <v>0</v>
          </cell>
          <cell r="X871">
            <v>0</v>
          </cell>
          <cell r="AA871">
            <v>0</v>
          </cell>
          <cell r="AC871">
            <v>0</v>
          </cell>
          <cell r="AD871">
            <v>0</v>
          </cell>
          <cell r="AE871">
            <v>0</v>
          </cell>
        </row>
        <row r="872">
          <cell r="I872" t="str">
            <v>BENIN II Team 1</v>
          </cell>
          <cell r="L872">
            <v>7</v>
          </cell>
          <cell r="O872">
            <v>70</v>
          </cell>
          <cell r="R872">
            <v>30</v>
          </cell>
          <cell r="X872">
            <v>0</v>
          </cell>
          <cell r="AA872">
            <v>30</v>
          </cell>
          <cell r="AC872">
            <v>1278000</v>
          </cell>
          <cell r="AD872">
            <v>1278000</v>
          </cell>
          <cell r="AE872">
            <v>0</v>
          </cell>
        </row>
        <row r="873">
          <cell r="I873" t="str">
            <v>BENIN II Team 2</v>
          </cell>
          <cell r="L873">
            <v>7</v>
          </cell>
          <cell r="O873">
            <v>70</v>
          </cell>
          <cell r="R873">
            <v>30</v>
          </cell>
          <cell r="X873">
            <v>0</v>
          </cell>
          <cell r="AA873">
            <v>29.521999999999998</v>
          </cell>
          <cell r="AC873">
            <v>1275017.28</v>
          </cell>
          <cell r="AD873">
            <v>1275017.28</v>
          </cell>
          <cell r="AE873">
            <v>0</v>
          </cell>
        </row>
        <row r="874">
          <cell r="I874" t="str">
            <v>BENIN II Team 3</v>
          </cell>
          <cell r="L874">
            <v>0</v>
          </cell>
          <cell r="O874">
            <v>0</v>
          </cell>
          <cell r="R874">
            <v>0</v>
          </cell>
          <cell r="X874">
            <v>0</v>
          </cell>
          <cell r="AA874">
            <v>0</v>
          </cell>
          <cell r="AC874">
            <v>0</v>
          </cell>
          <cell r="AD874">
            <v>0</v>
          </cell>
          <cell r="AE874">
            <v>0</v>
          </cell>
        </row>
        <row r="875">
          <cell r="I875" t="str">
            <v>BENIN II Team 4</v>
          </cell>
          <cell r="L875">
            <v>0</v>
          </cell>
          <cell r="O875">
            <v>0</v>
          </cell>
          <cell r="R875">
            <v>0</v>
          </cell>
          <cell r="X875">
            <v>0</v>
          </cell>
          <cell r="AA875">
            <v>0</v>
          </cell>
          <cell r="AC875">
            <v>0</v>
          </cell>
          <cell r="AD875">
            <v>0</v>
          </cell>
          <cell r="AE875">
            <v>0</v>
          </cell>
        </row>
        <row r="876">
          <cell r="I876" t="str">
            <v>AKURE 1(Ado-Ekiti/Ondo) Team 1</v>
          </cell>
          <cell r="L876">
            <v>10</v>
          </cell>
          <cell r="O876">
            <v>10</v>
          </cell>
          <cell r="R876">
            <v>17.809999999999999</v>
          </cell>
          <cell r="X876">
            <v>22.170999999999999</v>
          </cell>
          <cell r="AA876">
            <v>19</v>
          </cell>
          <cell r="AC876">
            <v>586999.38</v>
          </cell>
          <cell r="AD876">
            <v>586999.38</v>
          </cell>
          <cell r="AE876">
            <v>0</v>
          </cell>
        </row>
        <row r="877">
          <cell r="I877" t="str">
            <v>AKURE 1(Ado-Ekiti/Ondo) Team 2</v>
          </cell>
          <cell r="L877">
            <v>5</v>
          </cell>
          <cell r="O877">
            <v>5</v>
          </cell>
          <cell r="R877">
            <v>8</v>
          </cell>
          <cell r="X877">
            <v>12</v>
          </cell>
          <cell r="AA877">
            <v>20</v>
          </cell>
          <cell r="AC877">
            <v>354360</v>
          </cell>
          <cell r="AD877">
            <v>354360</v>
          </cell>
          <cell r="AE877">
            <v>0</v>
          </cell>
        </row>
        <row r="878">
          <cell r="I878" t="str">
            <v>AKURE 1(Ado-Ekiti/Ondo) Team 3</v>
          </cell>
          <cell r="L878">
            <v>0</v>
          </cell>
          <cell r="O878">
            <v>0</v>
          </cell>
          <cell r="R878">
            <v>0</v>
          </cell>
          <cell r="X878">
            <v>0</v>
          </cell>
          <cell r="AA878">
            <v>0</v>
          </cell>
          <cell r="AC878">
            <v>0</v>
          </cell>
          <cell r="AD878">
            <v>0</v>
          </cell>
          <cell r="AE878">
            <v>0</v>
          </cell>
        </row>
        <row r="879">
          <cell r="I879" t="str">
            <v>AKURE 1(Ado-Ekiti/Ondo) Team 4</v>
          </cell>
          <cell r="L879">
            <v>0</v>
          </cell>
          <cell r="O879">
            <v>0</v>
          </cell>
          <cell r="R879">
            <v>0</v>
          </cell>
          <cell r="X879">
            <v>0</v>
          </cell>
          <cell r="AA879">
            <v>0</v>
          </cell>
          <cell r="AC879">
            <v>0</v>
          </cell>
          <cell r="AD879">
            <v>0</v>
          </cell>
          <cell r="AE879">
            <v>0</v>
          </cell>
        </row>
        <row r="880">
          <cell r="I880" t="str">
            <v>AKURE II Team 1</v>
          </cell>
          <cell r="L880">
            <v>7</v>
          </cell>
          <cell r="O880">
            <v>29.56</v>
          </cell>
          <cell r="R880">
            <v>30</v>
          </cell>
          <cell r="X880">
            <v>70</v>
          </cell>
          <cell r="AA880">
            <v>70</v>
          </cell>
          <cell r="AC880">
            <v>1580006.3999999999</v>
          </cell>
          <cell r="AD880">
            <v>1580006.3999999999</v>
          </cell>
          <cell r="AE880">
            <v>0</v>
          </cell>
        </row>
        <row r="881">
          <cell r="I881" t="str">
            <v>AKURE II Team 2</v>
          </cell>
          <cell r="L881">
            <v>0</v>
          </cell>
          <cell r="O881">
            <v>0</v>
          </cell>
          <cell r="R881">
            <v>0</v>
          </cell>
          <cell r="X881">
            <v>0</v>
          </cell>
          <cell r="AA881">
            <v>0</v>
          </cell>
          <cell r="AC881">
            <v>0</v>
          </cell>
          <cell r="AD881">
            <v>0</v>
          </cell>
          <cell r="AE881">
            <v>0</v>
          </cell>
        </row>
        <row r="882">
          <cell r="I882" t="str">
            <v>AKURE II Team 3</v>
          </cell>
          <cell r="L882">
            <v>0</v>
          </cell>
          <cell r="O882">
            <v>0</v>
          </cell>
          <cell r="R882">
            <v>0</v>
          </cell>
          <cell r="X882">
            <v>0</v>
          </cell>
          <cell r="AA882">
            <v>0</v>
          </cell>
          <cell r="AC882">
            <v>0</v>
          </cell>
          <cell r="AD882">
            <v>0</v>
          </cell>
          <cell r="AE882">
            <v>0</v>
          </cell>
        </row>
        <row r="883">
          <cell r="I883" t="str">
            <v>AKURE II Team 4</v>
          </cell>
          <cell r="L883">
            <v>0</v>
          </cell>
          <cell r="O883">
            <v>0</v>
          </cell>
          <cell r="R883">
            <v>0</v>
          </cell>
          <cell r="X883">
            <v>0</v>
          </cell>
          <cell r="AA883">
            <v>0</v>
          </cell>
          <cell r="AC883">
            <v>0</v>
          </cell>
          <cell r="AD883">
            <v>0</v>
          </cell>
          <cell r="AE883">
            <v>0</v>
          </cell>
        </row>
        <row r="884">
          <cell r="I884" t="str">
            <v>WARRI Team 1</v>
          </cell>
          <cell r="L884">
            <v>10</v>
          </cell>
          <cell r="O884">
            <v>15</v>
          </cell>
          <cell r="R884">
            <v>50</v>
          </cell>
          <cell r="X884">
            <v>23</v>
          </cell>
          <cell r="AA884">
            <v>20.585999999999999</v>
          </cell>
          <cell r="AC884">
            <v>1040996.64</v>
          </cell>
          <cell r="AD884">
            <v>1040996.64</v>
          </cell>
          <cell r="AE884">
            <v>0</v>
          </cell>
        </row>
        <row r="885">
          <cell r="I885" t="str">
            <v>WARRI Team 2</v>
          </cell>
          <cell r="L885">
            <v>0</v>
          </cell>
          <cell r="O885">
            <v>0</v>
          </cell>
          <cell r="R885">
            <v>0</v>
          </cell>
          <cell r="X885">
            <v>0</v>
          </cell>
          <cell r="AA885">
            <v>0</v>
          </cell>
          <cell r="AC885">
            <v>0</v>
          </cell>
          <cell r="AD885">
            <v>0</v>
          </cell>
          <cell r="AE885">
            <v>0</v>
          </cell>
        </row>
        <row r="886">
          <cell r="I886" t="str">
            <v>WARRI Team 3</v>
          </cell>
          <cell r="L886">
            <v>0</v>
          </cell>
          <cell r="O886">
            <v>0</v>
          </cell>
          <cell r="R886">
            <v>0</v>
          </cell>
          <cell r="X886">
            <v>0</v>
          </cell>
          <cell r="AA886">
            <v>0</v>
          </cell>
          <cell r="AC886">
            <v>0</v>
          </cell>
          <cell r="AD886">
            <v>0</v>
          </cell>
          <cell r="AE886">
            <v>0</v>
          </cell>
        </row>
        <row r="887">
          <cell r="I887" t="str">
            <v>WARRI Team 4</v>
          </cell>
          <cell r="L887">
            <v>0</v>
          </cell>
          <cell r="O887">
            <v>0</v>
          </cell>
          <cell r="R887">
            <v>0</v>
          </cell>
          <cell r="X887">
            <v>0</v>
          </cell>
          <cell r="AA887">
            <v>0</v>
          </cell>
          <cell r="AC887">
            <v>0</v>
          </cell>
          <cell r="AD887">
            <v>0</v>
          </cell>
          <cell r="AE887">
            <v>0</v>
          </cell>
        </row>
      </sheetData>
      <sheetData sheetId="3"/>
      <sheetData sheetId="4">
        <row r="5">
          <cell r="D5" t="str">
            <v>East 1</v>
          </cell>
          <cell r="G5" t="str">
            <v>YES</v>
          </cell>
        </row>
        <row r="7">
          <cell r="D7" t="str">
            <v>East 1</v>
          </cell>
          <cell r="E7" t="str">
            <v>Onitsha</v>
          </cell>
          <cell r="G7" t="str">
            <v>YES</v>
          </cell>
        </row>
        <row r="8">
          <cell r="D8" t="str">
            <v>East 1</v>
          </cell>
          <cell r="G8" t="str">
            <v>YES</v>
          </cell>
        </row>
        <row r="9">
          <cell r="D9" t="str">
            <v>East 1</v>
          </cell>
          <cell r="E9" t="str">
            <v>Owerri</v>
          </cell>
          <cell r="G9" t="str">
            <v>YES</v>
          </cell>
        </row>
        <row r="10">
          <cell r="D10" t="str">
            <v>East 2</v>
          </cell>
          <cell r="E10" t="str">
            <v>Aba</v>
          </cell>
          <cell r="G10" t="str">
            <v>YES</v>
          </cell>
        </row>
        <row r="11">
          <cell r="D11" t="str">
            <v>East 2</v>
          </cell>
          <cell r="E11" t="str">
            <v>PHC 1</v>
          </cell>
          <cell r="G11" t="str">
            <v>YES</v>
          </cell>
        </row>
        <row r="12">
          <cell r="D12" t="str">
            <v>East 2</v>
          </cell>
          <cell r="G12" t="str">
            <v>YES</v>
          </cell>
        </row>
        <row r="14">
          <cell r="D14" t="str">
            <v>East 2</v>
          </cell>
          <cell r="E14" t="str">
            <v>Uyo</v>
          </cell>
          <cell r="F14" t="str">
            <v>IFEANYI ESTER AKPATI</v>
          </cell>
          <cell r="G14" t="str">
            <v>YES</v>
          </cell>
        </row>
        <row r="15">
          <cell r="D15" t="str">
            <v>East 2</v>
          </cell>
          <cell r="E15" t="str">
            <v>Calabar</v>
          </cell>
          <cell r="F15" t="str">
            <v>ENOIDEM AKPAN</v>
          </cell>
          <cell r="G15" t="str">
            <v>YES</v>
          </cell>
        </row>
        <row r="20">
          <cell r="D20" t="str">
            <v>West 2</v>
          </cell>
          <cell r="G20" t="str">
            <v>YES</v>
          </cell>
        </row>
        <row r="21">
          <cell r="D21" t="str">
            <v>West 2</v>
          </cell>
          <cell r="G21" t="str">
            <v>YES</v>
          </cell>
        </row>
        <row r="22">
          <cell r="D22" t="str">
            <v>West 2</v>
          </cell>
          <cell r="F22" t="str">
            <v>AKINGBOLU OPEYEMI</v>
          </cell>
          <cell r="G22" t="str">
            <v>YES</v>
          </cell>
        </row>
        <row r="23">
          <cell r="D23" t="str">
            <v>West 2</v>
          </cell>
          <cell r="G23" t="str">
            <v>YES</v>
          </cell>
        </row>
        <row r="24">
          <cell r="D24" t="str">
            <v>West 2</v>
          </cell>
          <cell r="E24" t="str">
            <v>Warri</v>
          </cell>
          <cell r="G24" t="str">
            <v>YES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D Impact Marketing" refreshedDate="46248.696957754626" createdVersion="8" refreshedVersion="8" minRefreshableVersion="3" recordCount="11" xr:uid="{83C3E988-83D2-4EBF-886A-A4336361D779}">
  <cacheSource type="worksheet">
    <worksheetSource ref="D1:E12" sheet="Sheet5"/>
  </cacheSource>
  <cacheFields count="2">
    <cacheField name="location" numFmtId="0">
      <sharedItems count="7">
        <s v="Calabar"/>
        <s v="Ado-Ekiti"/>
        <s v="uyo"/>
        <s v="Enugu"/>
        <s v="Asaba"/>
        <s v="Benin"/>
        <s v="Akure"/>
      </sharedItems>
    </cacheField>
    <cacheField name="cases" numFmtId="0">
      <sharedItems containsSemiMixedTypes="0" containsString="0" containsNumber="1" containsInteger="1" minValue="32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D Impact Marketing" refreshedDate="46295.456279513892" createdVersion="8" refreshedVersion="8" minRefreshableVersion="3" recordCount="14" xr:uid="{15ACB336-B115-48D3-9EAF-A67A08E0BB1B}">
  <cacheSource type="worksheet">
    <worksheetSource name="Table1"/>
  </cacheSource>
  <cacheFields count="21">
    <cacheField name="Weeks" numFmtId="0">
      <sharedItems containsNonDate="0" containsString="0" containsBlank="1"/>
    </cacheField>
    <cacheField name="Region" numFmtId="0">
      <sharedItems count="4">
        <s v="East 1"/>
        <s v="East 2"/>
        <s v="West 2"/>
        <s v="West 1" u="1"/>
      </sharedItems>
    </cacheField>
    <cacheField name="Area/Location" numFmtId="0">
      <sharedItems count="24">
        <s v="Enugu/Abakaliki"/>
        <s v="Onitsha"/>
        <s v="Asaba"/>
        <s v="Owerri"/>
        <s v="Aba"/>
        <s v="PHC 1"/>
        <s v="Bayelsa"/>
        <s v="Uyo"/>
        <s v="Calabar"/>
        <s v="Benin"/>
        <s v="Auchi"/>
        <s v="Ado-Ekiti"/>
        <s v="Akure"/>
        <s v="Warri"/>
        <s v="Enugu" u="1"/>
        <s v="Abakaliki" u="1"/>
        <s v="Benin 2" u="1"/>
        <s v="PHC 2" u="1"/>
        <s v="Ibadan 1" u="1"/>
        <s v="Ibadan 2" u="1"/>
        <s v="Oshogbo " u="1"/>
        <s v="Ilorin" u="1"/>
        <s v="Benin 1" u="1"/>
        <s v="Akure 1" u="1"/>
      </sharedItems>
    </cacheField>
    <cacheField name="Agency Supervisor" numFmtId="0">
      <sharedItems containsBlank="1"/>
    </cacheField>
    <cacheField name="Commenced?" numFmtId="0">
      <sharedItems/>
    </cacheField>
    <cacheField name="Expected No of Promoters" numFmtId="0">
      <sharedItems containsSemiMixedTypes="0" containsString="0" containsNumber="1" containsInteger="1" minValue="12" maxValue="12"/>
    </cacheField>
    <cacheField name="Actual Manning" numFmtId="0">
      <sharedItems containsSemiMixedTypes="0" containsString="0" containsNumber="1" containsInteger="1" minValue="12" maxValue="12"/>
    </cacheField>
    <cacheField name="%Ach." numFmtId="9">
      <sharedItems containsSemiMixedTypes="0" containsString="0" containsNumber="1" containsInteger="1" minValue="0" maxValue="1"/>
    </cacheField>
    <cacheField name="Man Days" numFmtId="0">
      <sharedItems containsSemiMixedTypes="0" containsString="0" containsNumber="1" containsInteger="1" minValue="0" maxValue="192"/>
    </cacheField>
    <cacheField name="Target Consumer days" numFmtId="0">
      <sharedItems containsSemiMixedTypes="0" containsString="0" containsNumber="1" containsInteger="1" minValue="0" maxValue="23040"/>
    </cacheField>
    <cacheField name="Actual Consumer Days " numFmtId="0">
      <sharedItems containsSemiMixedTypes="0" containsString="0" containsNumber="1" containsInteger="1" minValue="0" maxValue="23040"/>
    </cacheField>
    <cacheField name="Target Hollandia Evap Milk 120g" numFmtId="0">
      <sharedItems containsSemiMixedTypes="0" containsString="0" containsNumber="1" containsInteger="1" minValue="252" maxValue="4284"/>
    </cacheField>
    <cacheField name="Actual Hollandia Evap Milk 120g" numFmtId="0">
      <sharedItems containsSemiMixedTypes="0" containsString="0" containsNumber="1" containsInteger="1" minValue="53" maxValue="3804"/>
    </cacheField>
    <cacheField name="Cash Expected" numFmtId="0">
      <sharedItems containsSemiMixedTypes="0" containsString="0" containsNumber="1" containsInteger="1" minValue="0" maxValue="6798000"/>
    </cacheField>
    <cacheField name="Cash Paid" numFmtId="0">
      <sharedItems containsSemiMixedTypes="0" containsString="0" containsNumber="1" containsInteger="1" minValue="0" maxValue="6476896"/>
    </cacheField>
    <cacheField name="TARGET PER REGION" numFmtId="0">
      <sharedItems containsSemiMixedTypes="0" containsString="0" containsNumber="1" containsInteger="1" minValue="252" maxValue="4284"/>
    </cacheField>
    <cacheField name="ACTUAL PER REGION" numFmtId="0">
      <sharedItems containsSemiMixedTypes="0" containsString="0" containsNumber="1" containsInteger="1" minValue="53" maxValue="3804"/>
    </cacheField>
    <cacheField name="Column1" numFmtId="0">
      <sharedItems containsNonDate="0" containsString="0" containsBlank="1"/>
    </cacheField>
    <cacheField name="Target Volume" numFmtId="0">
      <sharedItems containsSemiMixedTypes="0" containsString="0" containsNumber="1" containsInteger="1" minValue="252" maxValue="4284"/>
    </cacheField>
    <cacheField name="Total Volume" numFmtId="1">
      <sharedItems containsSemiMixedTypes="0" containsString="0" containsNumber="1" containsInteger="1" minValue="53" maxValue="3804"/>
    </cacheField>
    <cacheField name="% Ach" numFmtId="0" formula="'Total Volume'/'Target Volu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1"/>
  </r>
  <r>
    <x v="1"/>
    <n v="60"/>
  </r>
  <r>
    <x v="2"/>
    <n v="48"/>
  </r>
  <r>
    <x v="0"/>
    <n v="36"/>
  </r>
  <r>
    <x v="1"/>
    <n v="72"/>
  </r>
  <r>
    <x v="3"/>
    <n v="62"/>
  </r>
  <r>
    <x v="4"/>
    <n v="72"/>
  </r>
  <r>
    <x v="2"/>
    <n v="32"/>
  </r>
  <r>
    <x v="1"/>
    <n v="65"/>
  </r>
  <r>
    <x v="5"/>
    <n v="97"/>
  </r>
  <r>
    <x v="6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m/>
    <x v="0"/>
    <x v="0"/>
    <s v="MUDIA"/>
    <s v="YES"/>
    <n v="12"/>
    <n v="12"/>
    <n v="0"/>
    <n v="0"/>
    <n v="0"/>
    <n v="0"/>
    <n v="1764"/>
    <n v="450"/>
    <n v="0"/>
    <n v="0"/>
    <n v="1764"/>
    <n v="450"/>
    <m/>
    <n v="1764"/>
    <n v="450"/>
  </r>
  <r>
    <m/>
    <x v="0"/>
    <x v="1"/>
    <m/>
    <s v="YES"/>
    <n v="12"/>
    <n v="12"/>
    <n v="0"/>
    <n v="120"/>
    <n v="14400"/>
    <n v="14400"/>
    <n v="2520"/>
    <n v="1477"/>
    <n v="2954000"/>
    <n v="2792792"/>
    <n v="2520"/>
    <n v="1477"/>
    <m/>
    <n v="2520"/>
    <n v="1477"/>
  </r>
  <r>
    <m/>
    <x v="0"/>
    <x v="2"/>
    <s v="IFEANYI CHIADIKABIA"/>
    <s v="YES"/>
    <n v="12"/>
    <n v="12"/>
    <n v="0"/>
    <n v="108"/>
    <n v="12960"/>
    <n v="12960"/>
    <n v="2268"/>
    <n v="674"/>
    <n v="1348000"/>
    <n v="1272512"/>
    <n v="2268"/>
    <n v="674"/>
    <m/>
    <n v="2268"/>
    <n v="674"/>
  </r>
  <r>
    <m/>
    <x v="0"/>
    <x v="3"/>
    <m/>
    <s v="YES"/>
    <n v="12"/>
    <n v="12"/>
    <n v="0"/>
    <n v="192"/>
    <n v="23040"/>
    <n v="23040"/>
    <n v="4032"/>
    <n v="3399"/>
    <n v="6798000"/>
    <n v="6476896"/>
    <n v="4032"/>
    <n v="3399"/>
    <m/>
    <n v="4032"/>
    <n v="3399"/>
  </r>
  <r>
    <m/>
    <x v="1"/>
    <x v="4"/>
    <m/>
    <s v="YES"/>
    <n v="12"/>
    <n v="12"/>
    <n v="0"/>
    <n v="12"/>
    <n v="1440"/>
    <n v="1440"/>
    <n v="252"/>
    <n v="53"/>
    <n v="106000"/>
    <n v="100064"/>
    <n v="252"/>
    <n v="53"/>
    <m/>
    <n v="252"/>
    <n v="53"/>
  </r>
  <r>
    <m/>
    <x v="1"/>
    <x v="5"/>
    <m/>
    <s v="YES"/>
    <n v="12"/>
    <n v="12"/>
    <n v="0"/>
    <n v="168"/>
    <n v="20160"/>
    <n v="20160"/>
    <n v="3528"/>
    <n v="2337"/>
    <n v="4674000"/>
    <n v="4440480"/>
    <n v="3528"/>
    <n v="2337"/>
    <m/>
    <n v="3528"/>
    <n v="2337"/>
  </r>
  <r>
    <m/>
    <x v="1"/>
    <x v="6"/>
    <m/>
    <s v="YES"/>
    <n v="12"/>
    <n v="12"/>
    <n v="0"/>
    <n v="120"/>
    <n v="14400"/>
    <n v="14400"/>
    <n v="2520"/>
    <n v="2240"/>
    <n v="4480000"/>
    <n v="4265211"/>
    <n v="2520"/>
    <n v="2240"/>
    <m/>
    <n v="2520"/>
    <n v="2240"/>
  </r>
  <r>
    <m/>
    <x v="1"/>
    <x v="7"/>
    <s v="IFEANYI ESTER AKPATI"/>
    <s v="YES"/>
    <n v="12"/>
    <n v="12"/>
    <n v="1"/>
    <n v="168"/>
    <n v="20160"/>
    <n v="20160"/>
    <n v="3528"/>
    <n v="1756"/>
    <n v="3512000"/>
    <n v="3315328"/>
    <n v="3528"/>
    <n v="1756"/>
    <m/>
    <n v="3528"/>
    <n v="1756"/>
  </r>
  <r>
    <m/>
    <x v="1"/>
    <x v="8"/>
    <s v="ENOIDEM AKPAN"/>
    <s v="YES"/>
    <n v="12"/>
    <n v="12"/>
    <n v="1"/>
    <n v="144"/>
    <n v="17280"/>
    <n v="17280"/>
    <n v="3024"/>
    <n v="1326"/>
    <n v="2652000"/>
    <n v="2513980"/>
    <n v="3024"/>
    <n v="1326"/>
    <m/>
    <n v="3024"/>
    <n v="1326"/>
  </r>
  <r>
    <m/>
    <x v="2"/>
    <x v="9"/>
    <s v="JAMES OLUWASEGUN"/>
    <s v="YES"/>
    <n v="12"/>
    <n v="12"/>
    <n v="0"/>
    <n v="0"/>
    <n v="0"/>
    <n v="0"/>
    <n v="2520"/>
    <n v="975"/>
    <n v="0"/>
    <n v="0"/>
    <n v="2520"/>
    <n v="975"/>
    <m/>
    <n v="2520"/>
    <n v="975"/>
  </r>
  <r>
    <m/>
    <x v="2"/>
    <x v="10"/>
    <m/>
    <s v="YES"/>
    <n v="12"/>
    <n v="12"/>
    <n v="0"/>
    <n v="0"/>
    <n v="0"/>
    <n v="0"/>
    <n v="4284"/>
    <n v="3804"/>
    <n v="0"/>
    <n v="0"/>
    <n v="4284"/>
    <n v="3804"/>
    <m/>
    <n v="4284"/>
    <n v="3804"/>
  </r>
  <r>
    <m/>
    <x v="2"/>
    <x v="11"/>
    <s v="AKINGBOLU ISIAKA OPEYEMI"/>
    <s v="YES"/>
    <n v="12"/>
    <n v="12"/>
    <n v="1"/>
    <n v="144"/>
    <n v="17280"/>
    <n v="17280"/>
    <n v="3024"/>
    <n v="1686"/>
    <n v="3372000"/>
    <n v="3220296"/>
    <n v="3024"/>
    <n v="1686"/>
    <m/>
    <n v="3024"/>
    <n v="1686"/>
  </r>
  <r>
    <m/>
    <x v="2"/>
    <x v="12"/>
    <s v="AKINGBOLU OPEYEMI"/>
    <s v="YES"/>
    <n v="12"/>
    <n v="12"/>
    <n v="0"/>
    <n v="0"/>
    <n v="0"/>
    <n v="0"/>
    <n v="1008"/>
    <n v="391"/>
    <n v="0"/>
    <n v="0"/>
    <n v="1008"/>
    <n v="391"/>
    <m/>
    <n v="1008"/>
    <n v="391"/>
  </r>
  <r>
    <m/>
    <x v="2"/>
    <x v="13"/>
    <m/>
    <s v="YES"/>
    <n v="12"/>
    <n v="12"/>
    <n v="0"/>
    <n v="156"/>
    <n v="18720"/>
    <n v="18720"/>
    <n v="3276"/>
    <n v="2550"/>
    <n v="5100000"/>
    <n v="4852412"/>
    <n v="3276"/>
    <n v="2550"/>
    <m/>
    <n v="3276"/>
    <n v="2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8D36-C3A8-44C1-9163-EB97556C168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axis="axisRow" showAll="0">
      <items count="8">
        <item x="1"/>
        <item x="6"/>
        <item x="4"/>
        <item x="5"/>
        <item x="0"/>
        <item x="3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as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D0129-CF0C-4B66-8281-5BD18C3B8D0D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C30" firstHeaderRow="0" firstDataRow="1" firstDataCol="1"/>
  <pivotFields count="21">
    <pivotField showAll="0"/>
    <pivotField axis="axisRow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Hollandia Evap Milk 120g" fld="11" baseField="0" baseItem="0"/>
    <dataField name="Sum of Actual Hollandia Evap Milk 120g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5FBF4-329C-4D76-AFE9-E90D4827103D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3" firstHeaderRow="0" firstDataRow="1" firstDataCol="1"/>
  <pivotFields count="21">
    <pivotField showAll="0"/>
    <pivotField axis="axisRow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Volume" fld="18" baseField="0" baseItem="0"/>
    <dataField name="Sum of Total Volume" fld="1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A5A23-C88E-47A1-8866-AD94574D810A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5" firstHeaderRow="0" firstDataRow="1" firstDataCol="1"/>
  <pivotFields count="21">
    <pivotField showAll="0"/>
    <pivotField axis="axisRow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Consumer days" fld="9" baseField="0" baseItem="0"/>
    <dataField name="Sum of Actual Consumer Days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A794D-5931-4CE3-A031-F411FF8DB8BE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0" firstDataRow="1" firstDataCol="1"/>
  <pivotFields count="21">
    <pivotField showAll="0"/>
    <pivotField axis="axisRow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cted No of Promoters" fld="5" baseField="0" baseItem="0"/>
    <dataField name="Sum of Actual Manning" fld="6" baseField="0" baseItem="0"/>
    <dataField name="Sum of % Ach" fld="20" baseField="0" baseItem="0"/>
  </dataFields>
  <formats count="2">
    <format dxfId="23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63FA2-16F5-4B21-B945-0B64B7A316D4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34:D49" firstHeaderRow="0" firstDataRow="1" firstDataCol="1"/>
  <pivotFields count="21">
    <pivotField showAll="0"/>
    <pivotField showAll="0"/>
    <pivotField axis="axisRow" showAll="0">
      <items count="25">
        <item x="4"/>
        <item m="1" x="15"/>
        <item x="11"/>
        <item m="1" x="23"/>
        <item x="2"/>
        <item x="6"/>
        <item m="1" x="22"/>
        <item m="1" x="16"/>
        <item x="8"/>
        <item m="1" x="14"/>
        <item m="1" x="18"/>
        <item m="1" x="19"/>
        <item m="1" x="21"/>
        <item x="1"/>
        <item m="1" x="20"/>
        <item x="3"/>
        <item x="5"/>
        <item m="1" x="17"/>
        <item x="7"/>
        <item x="13"/>
        <item x="12"/>
        <item x="9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" showAll="0"/>
    <pivotField dataField="1" dragToRow="0" dragToCol="0" dragToPage="0" showAll="0" defaultSubtotal="0"/>
  </pivotFields>
  <rowFields count="1">
    <field x="2"/>
  </rowFields>
  <rowItems count="15">
    <i>
      <x/>
    </i>
    <i>
      <x v="2"/>
    </i>
    <i>
      <x v="4"/>
    </i>
    <i>
      <x v="5"/>
    </i>
    <i>
      <x v="8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arget_Volume" fld="18" baseField="0" baseItem="0"/>
    <dataField name="Actual _Volume" fld="19" baseField="0" baseItem="0" numFmtId="1"/>
    <dataField name=" % Ach" fld="20" baseField="0" baseItem="0"/>
  </dataFields>
  <formats count="2">
    <format dxfId="25">
      <pivotArea field="1" grandRow="1" outline="0" collapsedLevelsAreSubtotals="1">
        <references count="1">
          <reference field="4294967294" count="1" selected="0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</formats>
  <chartFormats count="7"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9AA27-527C-4B44-A671-069BC99C4423}" name="Table2" displayName="Table2" ref="A3:U7" totalsRowShown="0">
  <autoFilter ref="A3:U7" xr:uid="{94D9AA27-527C-4B44-A671-069BC99C4423}"/>
  <tableColumns count="21">
    <tableColumn id="1" xr3:uid="{F7D92C6B-7D42-47B1-9CF9-CC3065FB6309}" name="Weeks"/>
    <tableColumn id="2" xr3:uid="{63FE313D-82AC-4F29-956F-9B15FC399F16}" name="Region"/>
    <tableColumn id="3" xr3:uid="{53C1A50F-D1F4-440A-A558-0D6FABFF4CE6}" name="Area/Location"/>
    <tableColumn id="4" xr3:uid="{8DDC05E8-B5BF-4DE6-A10B-F590E1633413}" name="Agency Supervisor"/>
    <tableColumn id="5" xr3:uid="{2DF8AF14-9A86-4F4B-A9A7-2E1945B7FEB7}" name="Commenced?"/>
    <tableColumn id="6" xr3:uid="{886718DD-9688-4355-B9C1-6332D95B98A1}" name="Expected No of Promoters"/>
    <tableColumn id="7" xr3:uid="{A870EA14-D477-4530-AF88-A6438D5B736F}" name="Actual Manning"/>
    <tableColumn id="8" xr3:uid="{1EC8D263-8508-476A-BF12-8AF4892AF4F5}" name="%Ach."/>
    <tableColumn id="9" xr3:uid="{E38C90AB-14D1-4ACE-8DF8-D3475655D6B5}" name="Man Days"/>
    <tableColumn id="10" xr3:uid="{E5040DFB-AD4C-433E-9389-A57CBCEF7C5C}" name="Target Consumer days"/>
    <tableColumn id="11" xr3:uid="{A1B2BB46-A0F4-4846-B05D-C7AC52A9A851}" name="Actual Consumer Days "/>
    <tableColumn id="12" xr3:uid="{24AD81D1-0B5D-4CC5-BCBF-8BCD5B26031E}" name="No of Drop Points Created"/>
    <tableColumn id="13" xr3:uid="{5D4B3597-E8F0-4931-B9D1-9884FD31B6CC}" name="Target Hollandia Evap Milk 120g"/>
    <tableColumn id="14" xr3:uid="{835237F3-1A77-4000-B53E-8255BC78CB3F}" name="Actual Hollandia Evap Milk 120g"/>
    <tableColumn id="15" xr3:uid="{D46C4502-1E84-4D32-A300-66C889FA9F38}" name="Cash Expected"/>
    <tableColumn id="16" xr3:uid="{C6B0864D-2AED-4507-9FEE-729E98FD9DE3}" name="Cash Paid"/>
    <tableColumn id="17" xr3:uid="{AA06228B-887B-4F71-B3D2-F15B2CAD5DED}" name="TARGET PER REGION"/>
    <tableColumn id="18" xr3:uid="{D89C6019-6A41-4A7F-A748-C96D64EA7DE0}" name="ACTUAL PER REGION"/>
    <tableColumn id="19" xr3:uid="{5E307E77-6374-43F5-AD24-289C2B991059}" name="Column1"/>
    <tableColumn id="20" xr3:uid="{378E3D65-E96D-4957-B505-B29FA17B8C31}" name="Target Volume"/>
    <tableColumn id="21" xr3:uid="{6BF8B089-84CA-4B7C-AE29-2A185360AA7F}" name="Total Volu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5973B2-F86C-483A-BFC7-E0A3AFCD8498}" name="Table3" displayName="Table3" ref="A3:U7" totalsRowShown="0">
  <autoFilter ref="A3:U7" xr:uid="{525973B2-F86C-483A-BFC7-E0A3AFCD8498}"/>
  <tableColumns count="21">
    <tableColumn id="1" xr3:uid="{E71A6074-3384-4D91-A8A8-5CE1838EF33F}" name="Weeks"/>
    <tableColumn id="2" xr3:uid="{9E511A43-7FD5-4F5F-9818-A35C8365EC89}" name="Region"/>
    <tableColumn id="3" xr3:uid="{43A14855-B9DD-470D-B744-44CC6E7D8CAD}" name="Area/Location"/>
    <tableColumn id="4" xr3:uid="{82DD367E-36B8-4ED9-8EEE-120E4DED4DD3}" name="Agency Supervisor"/>
    <tableColumn id="5" xr3:uid="{940E35A7-D29C-44C8-88F8-74BE20C8992E}" name="Commenced?"/>
    <tableColumn id="6" xr3:uid="{670357EB-A305-4B4A-A5A5-44C8143239B1}" name="Expected No of Promoters"/>
    <tableColumn id="7" xr3:uid="{99BC10C9-410B-4085-8079-E60DD3E4534F}" name="Actual Manning"/>
    <tableColumn id="8" xr3:uid="{F1DCF079-5885-4A64-AE58-ED5412E09DE9}" name="%Ach."/>
    <tableColumn id="9" xr3:uid="{C1031E31-2503-4EF2-8790-C3A8B5034D3A}" name="Man Days"/>
    <tableColumn id="10" xr3:uid="{9B25B699-0714-458D-A660-1A156F978492}" name="Target Consumer days"/>
    <tableColumn id="11" xr3:uid="{8F434FE1-A266-4A16-8001-E2DED3653641}" name="Actual Consumer Days "/>
    <tableColumn id="12" xr3:uid="{5D989EE9-1E25-48BF-80B1-DA7985C95064}" name="No of Drop Points Created"/>
    <tableColumn id="13" xr3:uid="{5698EBB5-86B2-438F-975A-B3C1819F182C}" name="Target Hollandia Evap Milk 120g"/>
    <tableColumn id="14" xr3:uid="{38A98D72-5345-4FFD-8CC4-870FF10686C6}" name="Actual Hollandia Evap Milk 120g"/>
    <tableColumn id="15" xr3:uid="{9A87095B-9E2A-40F4-9CE4-2165FEFDC601}" name="Cash Expected"/>
    <tableColumn id="16" xr3:uid="{193A2E33-94A3-42AA-B7DD-4A9827AF3B43}" name="Cash Paid"/>
    <tableColumn id="17" xr3:uid="{4EBD5812-8286-4DB4-83DF-30700B972DDD}" name="TARGET PER REGION"/>
    <tableColumn id="18" xr3:uid="{319C46FF-23A7-4B6F-8F60-50982EDEF967}" name="ACTUAL PER REGION"/>
    <tableColumn id="19" xr3:uid="{92D29441-03BA-4A48-AD26-808C7416A9B4}" name="Column1"/>
    <tableColumn id="20" xr3:uid="{C0DA1810-68DF-4174-A8BD-0FD95DEFB699}" name="Target Volume"/>
    <tableColumn id="21" xr3:uid="{7869530D-5F28-48F2-95C0-1E37D4AB71A0}" name="Total Volu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60222-322C-4270-817C-6A68468681AB}" name="Table1" displayName="Table1" ref="A1:T16" totalsRowCount="1">
  <autoFilter ref="A1:T15" xr:uid="{00000000-0009-0000-0100-000001000000}"/>
  <tableColumns count="20">
    <tableColumn id="29" xr3:uid="{B4AC7888-CE1B-4924-A924-6896AB334BF6}" name="Weeks"/>
    <tableColumn id="1" xr3:uid="{D64E785E-3A0F-435A-AEC3-1DBA5ABE1034}" name="Region">
      <calculatedColumnFormula>'[1]ATD &gt;'!D5</calculatedColumnFormula>
    </tableColumn>
    <tableColumn id="2" xr3:uid="{5CDDA203-0DF0-4165-BD49-F54160D2B318}" name="Area/Location">
      <calculatedColumnFormula>'[1]ATD &gt;'!E5</calculatedColumnFormula>
    </tableColumn>
    <tableColumn id="3" xr3:uid="{0D9DF731-7E60-42B3-BC50-CF212FE04173}" name="Agency Supervisor">
      <calculatedColumnFormula>'[1]ATD &gt;'!F5</calculatedColumnFormula>
    </tableColumn>
    <tableColumn id="4" xr3:uid="{54946E8C-97FB-48D7-B3EE-D3C975D6F983}" name="Commenced?">
      <calculatedColumnFormula>'[1]ATD &gt;'!G5</calculatedColumnFormula>
    </tableColumn>
    <tableColumn id="5" xr3:uid="{79176994-F632-49A4-AC80-624F1043C34F}" name="Expected No of Promoters" dataDxfId="21">
      <calculatedColumnFormula>SUMIF('ATD Daily&gt; (2)'!E:E,Table1[[#This Row],[Area/Location]],'ATD Daily&gt; (2)'!I:I)</calculatedColumnFormula>
    </tableColumn>
    <tableColumn id="6" xr3:uid="{D426FB2E-C214-422D-A9CD-446CF2BF7FA7}" name="Actual Manning" dataDxfId="20">
      <calculatedColumnFormula>SUMIF('ATD Daily&gt; (2)'!E:E,Table1[[#This Row],[Area/Location]],'ATD Daily&gt; (2)'!J:J)</calculatedColumnFormula>
    </tableColumn>
    <tableColumn id="7" xr3:uid="{610C957B-9897-4443-875C-D81C9D9F662C}" name="%Ach." dataCellStyle="Percent">
      <calculatedColumnFormula>SUMIF('ATD &gt;'!$E:$E,Table1[[#This Row],[Area/Location]],'ATD &gt;'!K:K)</calculatedColumnFormula>
    </tableColumn>
    <tableColumn id="8" xr3:uid="{1C23522E-ACAA-4800-B33B-77EA3B2F3EFC}" name="Man Days" dataDxfId="19">
      <calculatedColumnFormula>SUMIF('ATD &gt;'!$E:$E,Table1[[#This Row],[Area/Location]],'ATD &gt;'!L:L)</calculatedColumnFormula>
    </tableColumn>
    <tableColumn id="27" xr3:uid="{15CDD707-DA76-4306-90D9-955B9CCB7036}" name="Target Consumer days" dataDxfId="18">
      <calculatedColumnFormula>Table1[[#This Row],[Man Days]]*120</calculatedColumnFormula>
    </tableColumn>
    <tableColumn id="28" xr3:uid="{AC2E09CC-3FB1-4C09-9F65-D00884AB6306}" name="Actual Consumer Days ">
      <calculatedColumnFormula>Table1[[#This Row],[Target Consumer days]]</calculatedColumnFormula>
    </tableColumn>
    <tableColumn id="18" xr3:uid="{DC133B48-8047-488D-AC96-E3DBC10A29B6}" name="Target Hollandia Evap Milk 120g" dataDxfId="17">
      <calculatedColumnFormula>SUMIF('ATD Daily&gt; (2)'!E:E,Table1[[#This Row],[Area/Location]],'ATD Daily&gt; (2)'!T:T)</calculatedColumnFormula>
    </tableColumn>
    <tableColumn id="19" xr3:uid="{FC242519-823C-48FC-87B0-45DE17A2967B}" name="Actual Hollandia Evap Milk 120g" dataDxfId="16">
      <calculatedColumnFormula>SUMIF('ATD Daily&gt; (2)'!E:E,Table1[[#This Row],[Area/Location]],'ATD Daily&gt; (2)'!U:U)</calculatedColumnFormula>
    </tableColumn>
    <tableColumn id="20" xr3:uid="{FCE8EF80-FBE7-4EDD-B995-F76B0EF2D437}" name="Cash Expected">
      <calculatedColumnFormula>SUMIF('ATD &gt;'!$E:$E,Table1[[#This Row],[Area/Location]],'ATD &gt;'!Q:Q)</calculatedColumnFormula>
    </tableColumn>
    <tableColumn id="21" xr3:uid="{04446D0B-E232-4069-97FA-0CBEA451314C}" name="Cash Paid">
      <calculatedColumnFormula>SUMIF('ATD &gt;'!$E:$E,Table1[[#This Row],[Area/Location]],'ATD &gt;'!R:R)</calculatedColumnFormula>
    </tableColumn>
    <tableColumn id="22" xr3:uid="{644EE939-03C2-4AAB-B2ED-3BFB2AE07CC1}" name="TARGET PER REGION" dataDxfId="15">
      <calculatedColumnFormula>SUMIF('ATD Daily&gt; (2)'!E:E,Table1[[#This Row],[Area/Location]],'ATD Daily&gt; (2)'!T:T)</calculatedColumnFormula>
    </tableColumn>
    <tableColumn id="23" xr3:uid="{EB19F2F1-552C-4A49-975A-4C6E0464864B}" name="ACTUAL PER REGION" dataDxfId="14">
      <calculatedColumnFormula>SUMIF('ATD Daily&gt; (2)'!E:E,Table1[[#This Row],[Area/Location]],'ATD Daily&gt; (2)'!U:U)</calculatedColumnFormula>
    </tableColumn>
    <tableColumn id="26" xr3:uid="{66D1B4B7-F8F8-4D38-99A4-585AA1AE971F}" name="Column1"/>
    <tableColumn id="25" xr3:uid="{DA9BC886-7B75-4C25-844A-036BE22F086B}" name="Target Volume" dataDxfId="13">
      <calculatedColumnFormula>Table1[[#This Row],[Target Hollandia Evap Milk 120g]]</calculatedColumnFormula>
    </tableColumn>
    <tableColumn id="24" xr3:uid="{3D2C58F0-F988-43DF-8723-B6CAF4FF4A0A}" name="Total Volume" dataDxfId="12">
      <calculatedColumnFormula>Table1[[#This Row],[Actual Hollandia Evap Milk 120g]]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72C96F-8A43-4D06-9A29-8F37F33DCFD4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3A26-2052-40B3-A1D4-AAA32EFCB006}">
  <dimension ref="A1:AE54"/>
  <sheetViews>
    <sheetView showGridLines="0" topLeftCell="F10" zoomScale="70" zoomScaleNormal="70" workbookViewId="0">
      <selection activeCell="F79" sqref="F79"/>
    </sheetView>
  </sheetViews>
  <sheetFormatPr defaultColWidth="9.77734375" defaultRowHeight="14.4"/>
  <cols>
    <col min="1" max="1" width="4.109375" style="485" customWidth="1"/>
    <col min="2" max="2" width="7" style="485" hidden="1" customWidth="1"/>
    <col min="3" max="3" width="17.77734375" style="485" customWidth="1"/>
    <col min="4" max="4" width="26.77734375" style="485" customWidth="1"/>
    <col min="5" max="5" width="11" style="486" customWidth="1"/>
    <col min="6" max="6" width="12.44140625" style="487" customWidth="1"/>
    <col min="7" max="7" width="14.21875" style="488" customWidth="1"/>
    <col min="8" max="8" width="13.21875" style="488" customWidth="1"/>
    <col min="9" max="9" width="14.21875" style="488" customWidth="1"/>
    <col min="10" max="10" width="11.33203125" style="485" customWidth="1"/>
    <col min="11" max="13" width="17.5546875" style="488" customWidth="1"/>
    <col min="14" max="14" width="18.5546875" style="488" customWidth="1"/>
    <col min="15" max="15" width="29" style="485" customWidth="1"/>
    <col min="16" max="16384" width="9.77734375" style="485"/>
  </cols>
  <sheetData>
    <row r="1" spans="1:31" ht="19.05" customHeight="1"/>
    <row r="2" spans="1:31" ht="19.05" customHeight="1">
      <c r="E2" s="485"/>
      <c r="F2" s="485"/>
      <c r="G2" s="485"/>
      <c r="H2" s="485"/>
      <c r="I2" s="489"/>
      <c r="J2" s="490" t="s">
        <v>167</v>
      </c>
      <c r="K2" s="490"/>
      <c r="L2" s="491">
        <v>42</v>
      </c>
      <c r="M2" s="485"/>
      <c r="N2" s="485"/>
    </row>
    <row r="3" spans="1:31" ht="19.05" customHeight="1">
      <c r="E3" s="485"/>
      <c r="F3" s="485"/>
      <c r="G3" s="485"/>
      <c r="H3" s="485"/>
      <c r="I3" s="492"/>
      <c r="J3" s="493" t="s">
        <v>168</v>
      </c>
      <c r="K3" s="493"/>
      <c r="L3" s="494">
        <f>10*L2</f>
        <v>420</v>
      </c>
      <c r="M3" s="485"/>
      <c r="N3" s="485"/>
    </row>
    <row r="4" spans="1:31" ht="19.05" customHeight="1">
      <c r="E4" s="485"/>
      <c r="F4" s="485"/>
      <c r="G4" s="485"/>
      <c r="H4" s="485"/>
      <c r="I4" s="492"/>
      <c r="J4" s="493" t="s">
        <v>169</v>
      </c>
      <c r="K4" s="493"/>
      <c r="L4" s="494">
        <f>L3*70%</f>
        <v>294</v>
      </c>
      <c r="M4" s="485"/>
      <c r="N4" s="485"/>
    </row>
    <row r="5" spans="1:31" ht="12" customHeight="1">
      <c r="E5" s="485"/>
      <c r="F5" s="485"/>
      <c r="G5" s="485"/>
      <c r="H5" s="485"/>
      <c r="I5" s="492"/>
      <c r="J5" s="495"/>
      <c r="K5" s="495"/>
      <c r="L5" s="492"/>
      <c r="M5" s="485"/>
      <c r="N5" s="485"/>
    </row>
    <row r="6" spans="1:31" ht="22.05" customHeight="1">
      <c r="E6" s="485"/>
      <c r="F6" s="485"/>
      <c r="G6" s="485"/>
      <c r="H6" s="485"/>
      <c r="I6" s="492"/>
      <c r="J6" s="496" t="s">
        <v>170</v>
      </c>
      <c r="K6" s="496"/>
      <c r="L6" s="494">
        <v>25</v>
      </c>
      <c r="M6" s="485"/>
      <c r="N6" s="485"/>
    </row>
    <row r="7" spans="1:31" ht="22.05" customHeight="1">
      <c r="E7" s="485"/>
      <c r="F7" s="485"/>
      <c r="G7" s="485"/>
      <c r="H7" s="485"/>
      <c r="I7" s="492"/>
      <c r="J7" s="496" t="s">
        <v>171</v>
      </c>
      <c r="K7" s="496"/>
      <c r="L7" s="497">
        <v>1888</v>
      </c>
      <c r="M7" s="485"/>
      <c r="N7" s="485"/>
    </row>
    <row r="8" spans="1:31" ht="22.05" customHeight="1">
      <c r="E8" s="485"/>
      <c r="F8" s="485"/>
      <c r="G8" s="485"/>
      <c r="H8" s="485"/>
      <c r="I8" s="498"/>
      <c r="J8" s="499" t="s">
        <v>172</v>
      </c>
      <c r="K8" s="499"/>
      <c r="L8" s="500">
        <v>2000</v>
      </c>
      <c r="M8" s="485"/>
      <c r="N8" s="485"/>
    </row>
    <row r="9" spans="1:31" ht="20.55" customHeight="1">
      <c r="E9" s="485"/>
      <c r="F9" s="485"/>
      <c r="G9" s="485"/>
      <c r="H9" s="485"/>
      <c r="I9" s="501"/>
      <c r="J9" s="502" t="s">
        <v>173</v>
      </c>
      <c r="K9" s="502"/>
      <c r="L9" s="503">
        <v>112</v>
      </c>
      <c r="M9" s="485"/>
      <c r="N9" s="485"/>
    </row>
    <row r="10" spans="1:31" s="505" customFormat="1" ht="16.5" customHeight="1">
      <c r="A10" s="901" t="s">
        <v>174</v>
      </c>
      <c r="B10" s="901"/>
      <c r="C10" s="901"/>
      <c r="D10" s="485"/>
      <c r="E10" s="486"/>
      <c r="F10" s="487"/>
      <c r="G10" s="504"/>
      <c r="H10" s="504"/>
      <c r="I10" s="504"/>
      <c r="K10" s="504"/>
      <c r="L10" s="504"/>
      <c r="M10" s="504"/>
      <c r="N10" s="504"/>
      <c r="O10" s="485"/>
    </row>
    <row r="11" spans="1:31" ht="12" customHeight="1" thickBot="1">
      <c r="A11" s="901"/>
      <c r="B11" s="901"/>
      <c r="C11" s="901"/>
    </row>
    <row r="12" spans="1:31" s="506" customFormat="1" ht="16.05" customHeight="1" thickBot="1">
      <c r="C12" s="507"/>
      <c r="D12" s="508"/>
      <c r="E12" s="509"/>
      <c r="F12" s="902" t="s">
        <v>175</v>
      </c>
      <c r="G12" s="903"/>
      <c r="H12" s="510"/>
      <c r="I12" s="904" t="s">
        <v>176</v>
      </c>
      <c r="J12" s="904"/>
      <c r="K12" s="904"/>
      <c r="L12" s="510"/>
      <c r="M12" s="510"/>
      <c r="N12" s="511"/>
      <c r="O12" s="511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</row>
    <row r="13" spans="1:31" s="512" customFormat="1" ht="66" customHeight="1" thickBot="1">
      <c r="B13" s="512">
        <v>11857</v>
      </c>
      <c r="C13" s="513" t="s">
        <v>75</v>
      </c>
      <c r="D13" s="514" t="s">
        <v>177</v>
      </c>
      <c r="E13" s="515" t="s">
        <v>178</v>
      </c>
      <c r="F13" s="516" t="s">
        <v>179</v>
      </c>
      <c r="G13" s="517" t="s">
        <v>180</v>
      </c>
      <c r="H13" s="518" t="s">
        <v>181</v>
      </c>
      <c r="I13" s="519" t="s">
        <v>182</v>
      </c>
      <c r="J13" s="519" t="s">
        <v>183</v>
      </c>
      <c r="K13" s="520" t="s">
        <v>70</v>
      </c>
      <c r="L13" s="521" t="s">
        <v>184</v>
      </c>
      <c r="M13" s="521" t="s">
        <v>185</v>
      </c>
      <c r="N13" s="521" t="s">
        <v>186</v>
      </c>
      <c r="O13" s="521" t="s">
        <v>187</v>
      </c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  <c r="AA13" s="485"/>
      <c r="AB13" s="485"/>
      <c r="AC13" s="485"/>
      <c r="AD13" s="485"/>
    </row>
    <row r="14" spans="1:31" ht="15" customHeight="1">
      <c r="B14" s="488">
        <v>0.236083383629695</v>
      </c>
      <c r="C14" s="522" t="s">
        <v>31</v>
      </c>
      <c r="D14" s="522"/>
      <c r="E14" s="523"/>
      <c r="F14" s="524">
        <v>1</v>
      </c>
      <c r="G14" s="525">
        <v>10</v>
      </c>
      <c r="H14" s="526">
        <f>G$16*L$8*L$6</f>
        <v>500000</v>
      </c>
      <c r="I14" s="527"/>
      <c r="J14" s="528"/>
      <c r="K14" s="525"/>
      <c r="L14" s="526"/>
      <c r="M14" s="526"/>
      <c r="N14" s="526"/>
      <c r="O14" s="529"/>
    </row>
    <row r="15" spans="1:31">
      <c r="B15" s="488">
        <v>0.12878963740192201</v>
      </c>
      <c r="C15" s="522" t="s">
        <v>34</v>
      </c>
      <c r="D15" s="522"/>
      <c r="E15" s="523"/>
      <c r="F15" s="524">
        <v>1</v>
      </c>
      <c r="G15" s="525">
        <v>10</v>
      </c>
      <c r="H15" s="526">
        <f>G$16*L$8*L$6</f>
        <v>500000</v>
      </c>
      <c r="I15" s="527"/>
      <c r="J15" s="528"/>
      <c r="K15" s="525"/>
      <c r="L15" s="526"/>
      <c r="M15" s="526"/>
      <c r="N15" s="526"/>
      <c r="O15" s="529"/>
    </row>
    <row r="16" spans="1:31">
      <c r="B16" s="488">
        <v>0.25270439667579703</v>
      </c>
      <c r="C16" s="522" t="s">
        <v>36</v>
      </c>
      <c r="D16" s="522"/>
      <c r="E16" s="523"/>
      <c r="F16" s="524">
        <v>1</v>
      </c>
      <c r="G16" s="525">
        <v>10</v>
      </c>
      <c r="H16" s="526">
        <f>G$16*L$8*L$6</f>
        <v>500000</v>
      </c>
      <c r="I16" s="527"/>
      <c r="J16" s="528"/>
      <c r="K16" s="525"/>
      <c r="L16" s="526"/>
      <c r="M16" s="526"/>
      <c r="N16" s="526"/>
      <c r="O16" s="529"/>
      <c r="AE16" s="485" t="s">
        <v>20</v>
      </c>
    </row>
    <row r="17" spans="2:30">
      <c r="B17" s="488">
        <v>0.109800826407911</v>
      </c>
      <c r="C17" s="522" t="s">
        <v>38</v>
      </c>
      <c r="D17" s="522"/>
      <c r="E17" s="523"/>
      <c r="F17" s="524">
        <v>1</v>
      </c>
      <c r="G17" s="525">
        <v>10</v>
      </c>
      <c r="H17" s="526">
        <f>G$16*L$8*L$6</f>
        <v>500000</v>
      </c>
      <c r="I17" s="527"/>
      <c r="J17" s="528"/>
      <c r="K17" s="525"/>
      <c r="L17" s="526"/>
      <c r="M17" s="526"/>
      <c r="N17" s="526"/>
      <c r="O17" s="529"/>
    </row>
    <row r="18" spans="2:30" ht="15" thickBot="1">
      <c r="B18" s="488">
        <v>0.27262175588467402</v>
      </c>
      <c r="C18" s="522" t="s">
        <v>39</v>
      </c>
      <c r="D18" s="522"/>
      <c r="E18" s="523"/>
      <c r="F18" s="524">
        <v>1</v>
      </c>
      <c r="G18" s="525">
        <v>10</v>
      </c>
      <c r="H18" s="526">
        <f>G$16*L$8*L$6</f>
        <v>500000</v>
      </c>
      <c r="I18" s="527"/>
      <c r="J18" s="528"/>
      <c r="K18" s="525"/>
      <c r="L18" s="526"/>
      <c r="M18" s="526"/>
      <c r="N18" s="526"/>
      <c r="O18" s="529"/>
    </row>
    <row r="19" spans="2:30" s="506" customFormat="1" ht="15" thickBot="1">
      <c r="B19" s="488" t="e">
        <v>#N/A</v>
      </c>
      <c r="C19" s="530" t="s">
        <v>188</v>
      </c>
      <c r="D19" s="531"/>
      <c r="E19" s="532">
        <f t="shared" ref="E19:K19" si="0">SUM(E14:E18)</f>
        <v>0</v>
      </c>
      <c r="F19" s="533">
        <f t="shared" si="0"/>
        <v>5</v>
      </c>
      <c r="G19" s="534">
        <f t="shared" si="0"/>
        <v>50</v>
      </c>
      <c r="H19" s="534">
        <f>SUM(H14:H18)</f>
        <v>2500000</v>
      </c>
      <c r="I19" s="535"/>
      <c r="J19" s="536">
        <f t="shared" si="0"/>
        <v>0</v>
      </c>
      <c r="K19" s="534">
        <f t="shared" si="0"/>
        <v>0</v>
      </c>
      <c r="L19" s="537"/>
      <c r="M19" s="537"/>
      <c r="N19" s="537"/>
      <c r="O19" s="538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  <c r="AA19" s="485"/>
      <c r="AB19" s="485"/>
      <c r="AC19" s="485"/>
      <c r="AD19" s="485"/>
    </row>
    <row r="20" spans="2:30">
      <c r="B20" s="488">
        <v>0.23548802058208701</v>
      </c>
      <c r="C20" s="522" t="s">
        <v>42</v>
      </c>
      <c r="D20" s="522"/>
      <c r="E20" s="523"/>
      <c r="F20" s="524">
        <v>1</v>
      </c>
      <c r="G20" s="525">
        <v>10</v>
      </c>
      <c r="H20" s="526">
        <f t="shared" ref="H20:H25" si="1">G$16*L$8*L$6</f>
        <v>500000</v>
      </c>
      <c r="I20" s="527"/>
      <c r="J20" s="528"/>
      <c r="K20" s="525"/>
      <c r="L20" s="526"/>
      <c r="M20" s="526"/>
      <c r="N20" s="526"/>
      <c r="O20" s="539"/>
    </row>
    <row r="21" spans="2:30">
      <c r="B21" s="488">
        <v>0.20875542691751101</v>
      </c>
      <c r="C21" s="522" t="s">
        <v>153</v>
      </c>
      <c r="D21" s="522"/>
      <c r="E21" s="523"/>
      <c r="F21" s="524">
        <v>1</v>
      </c>
      <c r="G21" s="525">
        <v>10</v>
      </c>
      <c r="H21" s="526">
        <f t="shared" si="1"/>
        <v>500000</v>
      </c>
      <c r="I21" s="527"/>
      <c r="J21" s="528"/>
      <c r="K21" s="525"/>
      <c r="L21" s="526"/>
      <c r="M21" s="526"/>
      <c r="N21" s="526"/>
      <c r="O21" s="529"/>
    </row>
    <row r="22" spans="2:30">
      <c r="B22" s="488">
        <v>0.19516803344589201</v>
      </c>
      <c r="C22" s="522" t="s">
        <v>154</v>
      </c>
      <c r="D22" s="522"/>
      <c r="E22" s="523"/>
      <c r="F22" s="524">
        <v>1</v>
      </c>
      <c r="G22" s="525">
        <v>10</v>
      </c>
      <c r="H22" s="526">
        <f t="shared" si="1"/>
        <v>500000</v>
      </c>
      <c r="I22" s="527"/>
      <c r="J22" s="528"/>
      <c r="K22" s="525"/>
      <c r="L22" s="526"/>
      <c r="M22" s="526"/>
      <c r="N22" s="526"/>
      <c r="O22" s="529"/>
    </row>
    <row r="23" spans="2:30">
      <c r="B23" s="488">
        <v>6.5645602186846799E-2</v>
      </c>
      <c r="C23" s="522" t="s">
        <v>47</v>
      </c>
      <c r="D23" s="522"/>
      <c r="E23" s="523"/>
      <c r="F23" s="524">
        <v>1</v>
      </c>
      <c r="G23" s="525">
        <v>10</v>
      </c>
      <c r="H23" s="526">
        <f t="shared" si="1"/>
        <v>500000</v>
      </c>
      <c r="I23" s="527"/>
      <c r="J23" s="528"/>
      <c r="K23" s="525"/>
      <c r="L23" s="526"/>
      <c r="M23" s="526"/>
      <c r="N23" s="526"/>
      <c r="O23" s="529"/>
    </row>
    <row r="24" spans="2:30" ht="15" thickBot="1">
      <c r="B24" s="488">
        <v>0.107292169159029</v>
      </c>
      <c r="C24" s="522" t="s">
        <v>48</v>
      </c>
      <c r="D24" s="522"/>
      <c r="E24" s="523"/>
      <c r="F24" s="524">
        <v>1</v>
      </c>
      <c r="G24" s="525">
        <v>10</v>
      </c>
      <c r="H24" s="526">
        <f t="shared" si="1"/>
        <v>500000</v>
      </c>
      <c r="I24" s="527"/>
      <c r="J24" s="528"/>
      <c r="K24" s="525"/>
      <c r="L24" s="526"/>
      <c r="M24" s="526"/>
      <c r="N24" s="526"/>
      <c r="O24" s="529"/>
    </row>
    <row r="25" spans="2:30" ht="15" thickBot="1">
      <c r="B25" s="488">
        <v>0.18765074770863499</v>
      </c>
      <c r="C25" s="522" t="s">
        <v>50</v>
      </c>
      <c r="D25" s="522" t="s">
        <v>189</v>
      </c>
      <c r="E25" s="523"/>
      <c r="F25" s="524">
        <v>1</v>
      </c>
      <c r="G25" s="525">
        <v>10</v>
      </c>
      <c r="H25" s="526">
        <f t="shared" si="1"/>
        <v>500000</v>
      </c>
      <c r="I25" s="527">
        <v>41</v>
      </c>
      <c r="J25" s="528">
        <v>41</v>
      </c>
      <c r="K25" s="525">
        <f>J$25*2000</f>
        <v>82000</v>
      </c>
      <c r="L25" s="526">
        <f>J$25*1888</f>
        <v>77408</v>
      </c>
      <c r="M25" s="526">
        <f>J$25*112</f>
        <v>4592</v>
      </c>
      <c r="N25" s="540" t="s">
        <v>190</v>
      </c>
      <c r="O25" s="541" t="s">
        <v>191</v>
      </c>
    </row>
    <row r="26" spans="2:30" s="506" customFormat="1" ht="15" thickBot="1">
      <c r="B26" s="488" t="e">
        <v>#N/A</v>
      </c>
      <c r="C26" s="542" t="s">
        <v>192</v>
      </c>
      <c r="D26" s="543"/>
      <c r="E26" s="544">
        <f t="shared" ref="E26:K26" si="2">SUM(E20:E25)</f>
        <v>0</v>
      </c>
      <c r="F26" s="545">
        <f t="shared" si="2"/>
        <v>6</v>
      </c>
      <c r="G26" s="546">
        <f t="shared" si="2"/>
        <v>60</v>
      </c>
      <c r="H26" s="546">
        <f>SUM(H20:H25)</f>
        <v>3000000</v>
      </c>
      <c r="I26" s="537">
        <v>41</v>
      </c>
      <c r="J26" s="537">
        <f t="shared" si="2"/>
        <v>41</v>
      </c>
      <c r="K26" s="537">
        <f t="shared" si="2"/>
        <v>82000</v>
      </c>
      <c r="L26" s="537">
        <f>SUM(L25)</f>
        <v>77408</v>
      </c>
      <c r="M26" s="537">
        <f>SUM(M25)</f>
        <v>4592</v>
      </c>
      <c r="N26" s="537"/>
      <c r="O26" s="538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  <c r="AA26" s="485"/>
      <c r="AB26" s="485"/>
      <c r="AC26" s="485"/>
      <c r="AD26" s="485"/>
    </row>
    <row r="27" spans="2:30" s="506" customFormat="1" ht="15" thickBot="1">
      <c r="B27" s="547"/>
      <c r="C27" s="548" t="s">
        <v>193</v>
      </c>
      <c r="D27" s="549" t="s">
        <v>194</v>
      </c>
      <c r="E27" s="550"/>
      <c r="F27" s="551"/>
      <c r="G27" s="551">
        <v>10</v>
      </c>
      <c r="H27" s="552">
        <f>G$16*L$8*L$6</f>
        <v>500000</v>
      </c>
      <c r="I27" s="553">
        <v>60</v>
      </c>
      <c r="J27" s="551">
        <v>60</v>
      </c>
      <c r="K27" s="551">
        <f>J27*2000</f>
        <v>120000</v>
      </c>
      <c r="L27" s="551">
        <f>J27*1888</f>
        <v>113280</v>
      </c>
      <c r="M27" s="551">
        <f>J27*112</f>
        <v>6720</v>
      </c>
      <c r="N27" s="554" t="s">
        <v>195</v>
      </c>
      <c r="O27" s="541" t="s">
        <v>196</v>
      </c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  <c r="AA27" s="485"/>
      <c r="AB27" s="485"/>
      <c r="AC27" s="485"/>
      <c r="AD27" s="485"/>
    </row>
    <row r="28" spans="2:30" s="506" customFormat="1">
      <c r="B28" s="547"/>
      <c r="C28" s="555"/>
      <c r="D28" s="555"/>
      <c r="E28" s="556"/>
      <c r="F28" s="557"/>
      <c r="G28" s="557">
        <v>10</v>
      </c>
      <c r="H28" s="558">
        <f>G$16*L$8*L$6</f>
        <v>500000</v>
      </c>
      <c r="I28" s="526"/>
      <c r="J28" s="557"/>
      <c r="K28" s="557"/>
      <c r="L28" s="557"/>
      <c r="M28" s="557"/>
      <c r="N28" s="559"/>
      <c r="O28" s="55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  <c r="AA28" s="485"/>
      <c r="AB28" s="485"/>
      <c r="AC28" s="485"/>
      <c r="AD28" s="485"/>
    </row>
    <row r="29" spans="2:30" s="506" customFormat="1" ht="15" thickBot="1">
      <c r="B29" s="547"/>
      <c r="C29" s="538"/>
      <c r="D29" s="538"/>
      <c r="E29" s="560"/>
      <c r="F29" s="561"/>
      <c r="G29" s="561">
        <v>10</v>
      </c>
      <c r="H29" s="562">
        <f>G$16*L$8*L$6</f>
        <v>500000</v>
      </c>
      <c r="I29" s="563"/>
      <c r="J29" s="561"/>
      <c r="K29" s="561"/>
      <c r="L29" s="561"/>
      <c r="M29" s="561"/>
      <c r="N29" s="564"/>
      <c r="O29" s="55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  <c r="AA29" s="485"/>
      <c r="AB29" s="485"/>
      <c r="AC29" s="485"/>
      <c r="AD29" s="485"/>
    </row>
    <row r="30" spans="2:30" s="506" customFormat="1" ht="15" thickBot="1">
      <c r="B30" s="488" t="e">
        <v>#N/A</v>
      </c>
      <c r="C30" s="565" t="s">
        <v>197</v>
      </c>
      <c r="D30" s="566"/>
      <c r="E30" s="567">
        <f>SUM(E21:E26)</f>
        <v>0</v>
      </c>
      <c r="F30" s="568">
        <f>SUM(F21:F26)</f>
        <v>11</v>
      </c>
      <c r="G30" s="569">
        <f t="shared" ref="G30:M30" si="3">SUM(G27:G29)</f>
        <v>30</v>
      </c>
      <c r="H30" s="569">
        <f t="shared" si="3"/>
        <v>1500000</v>
      </c>
      <c r="I30" s="570">
        <f t="shared" si="3"/>
        <v>60</v>
      </c>
      <c r="J30" s="570">
        <f t="shared" si="3"/>
        <v>60</v>
      </c>
      <c r="K30" s="537">
        <f t="shared" si="3"/>
        <v>120000</v>
      </c>
      <c r="L30" s="570">
        <f t="shared" si="3"/>
        <v>113280</v>
      </c>
      <c r="M30" s="570">
        <f t="shared" si="3"/>
        <v>6720</v>
      </c>
      <c r="N30" s="570"/>
      <c r="O30" s="55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  <c r="AA30" s="485"/>
      <c r="AB30" s="485"/>
      <c r="AC30" s="485"/>
      <c r="AD30" s="485"/>
    </row>
    <row r="31" spans="2:30" s="506" customFormat="1" ht="15" thickBot="1">
      <c r="B31" s="488"/>
      <c r="C31" s="899" t="s">
        <v>198</v>
      </c>
      <c r="D31" s="900"/>
      <c r="E31" s="571">
        <f>E19+E26</f>
        <v>0</v>
      </c>
      <c r="F31" s="572">
        <f>F19+F26</f>
        <v>11</v>
      </c>
      <c r="G31" s="573">
        <f>G19+G26+G30</f>
        <v>140</v>
      </c>
      <c r="H31" s="573">
        <f>H19+H26+H30</f>
        <v>7000000</v>
      </c>
      <c r="I31" s="573">
        <f t="shared" ref="I31:J31" si="4">SUM(I26+I19+I30)</f>
        <v>101</v>
      </c>
      <c r="J31" s="573">
        <f t="shared" si="4"/>
        <v>101</v>
      </c>
      <c r="K31" s="573">
        <f>SUM(K26+K19+K30)</f>
        <v>202000</v>
      </c>
      <c r="L31" s="573">
        <f t="shared" ref="L31:M31" si="5">SUM(L26+L19+L30)</f>
        <v>190688</v>
      </c>
      <c r="M31" s="573">
        <f t="shared" si="5"/>
        <v>11312</v>
      </c>
      <c r="N31" s="574"/>
      <c r="O31" s="57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  <c r="AA31" s="485"/>
      <c r="AB31" s="485"/>
      <c r="AC31" s="485"/>
      <c r="AD31" s="485"/>
    </row>
    <row r="32" spans="2:30">
      <c r="K32" s="576"/>
      <c r="L32" s="576"/>
      <c r="M32" s="576"/>
      <c r="N32" s="576"/>
    </row>
    <row r="33" spans="1:15">
      <c r="A33" s="901" t="s">
        <v>199</v>
      </c>
      <c r="B33" s="901"/>
      <c r="C33" s="901"/>
      <c r="G33" s="504"/>
      <c r="H33" s="504"/>
      <c r="I33" s="504"/>
      <c r="J33" s="505"/>
      <c r="K33" s="504"/>
      <c r="L33" s="504"/>
      <c r="M33" s="504"/>
      <c r="N33" s="504"/>
    </row>
    <row r="34" spans="1:15" ht="15" thickBot="1">
      <c r="A34" s="901"/>
      <c r="B34" s="901"/>
      <c r="C34" s="901"/>
    </row>
    <row r="35" spans="1:15" ht="16.2" thickBot="1">
      <c r="A35" s="506"/>
      <c r="B35" s="506"/>
      <c r="C35" s="507"/>
      <c r="D35" s="508"/>
      <c r="E35" s="509"/>
      <c r="F35" s="902" t="s">
        <v>175</v>
      </c>
      <c r="G35" s="903"/>
      <c r="H35" s="510"/>
      <c r="I35" s="904" t="s">
        <v>176</v>
      </c>
      <c r="J35" s="904"/>
      <c r="K35" s="904"/>
      <c r="L35" s="510"/>
      <c r="M35" s="510"/>
      <c r="N35" s="511"/>
      <c r="O35" s="511"/>
    </row>
    <row r="36" spans="1:15" ht="58.2" thickBot="1">
      <c r="A36" s="512"/>
      <c r="B36" s="512">
        <v>11857</v>
      </c>
      <c r="C36" s="513" t="s">
        <v>75</v>
      </c>
      <c r="D36" s="514" t="s">
        <v>177</v>
      </c>
      <c r="E36" s="515" t="s">
        <v>178</v>
      </c>
      <c r="F36" s="516" t="s">
        <v>179</v>
      </c>
      <c r="G36" s="517" t="s">
        <v>180</v>
      </c>
      <c r="H36" s="518" t="s">
        <v>181</v>
      </c>
      <c r="I36" s="519" t="s">
        <v>182</v>
      </c>
      <c r="J36" s="519" t="s">
        <v>183</v>
      </c>
      <c r="K36" s="520" t="s">
        <v>70</v>
      </c>
      <c r="L36" s="521" t="s">
        <v>184</v>
      </c>
      <c r="M36" s="521" t="s">
        <v>185</v>
      </c>
      <c r="N36" s="521" t="s">
        <v>186</v>
      </c>
      <c r="O36" s="521" t="s">
        <v>187</v>
      </c>
    </row>
    <row r="37" spans="1:15">
      <c r="B37" s="488">
        <v>0.236083383629695</v>
      </c>
      <c r="C37" s="522" t="s">
        <v>31</v>
      </c>
      <c r="D37" s="522"/>
      <c r="E37" s="523"/>
      <c r="F37" s="524">
        <v>1</v>
      </c>
      <c r="G37" s="525">
        <v>10</v>
      </c>
      <c r="H37" s="526">
        <f>G$16*L$8*L$6</f>
        <v>500000</v>
      </c>
      <c r="I37" s="527"/>
      <c r="J37" s="528"/>
      <c r="K37" s="525"/>
      <c r="L37" s="526"/>
      <c r="M37" s="526"/>
      <c r="N37" s="526"/>
      <c r="O37" s="529"/>
    </row>
    <row r="38" spans="1:15">
      <c r="B38" s="488">
        <v>0.12878963740192201</v>
      </c>
      <c r="C38" s="522" t="s">
        <v>34</v>
      </c>
      <c r="D38" s="522"/>
      <c r="E38" s="523"/>
      <c r="F38" s="524">
        <v>1</v>
      </c>
      <c r="G38" s="525">
        <v>10</v>
      </c>
      <c r="H38" s="526">
        <f>G$16*L$8*L$6</f>
        <v>500000</v>
      </c>
      <c r="I38" s="527"/>
      <c r="J38" s="528"/>
      <c r="K38" s="525"/>
      <c r="L38" s="526"/>
      <c r="M38" s="526"/>
      <c r="N38" s="526"/>
      <c r="O38" s="529"/>
    </row>
    <row r="39" spans="1:15">
      <c r="B39" s="488">
        <v>0.25270439667579703</v>
      </c>
      <c r="C39" s="522" t="s">
        <v>36</v>
      </c>
      <c r="D39" s="522"/>
      <c r="E39" s="523"/>
      <c r="F39" s="524">
        <v>1</v>
      </c>
      <c r="G39" s="525">
        <v>10</v>
      </c>
      <c r="H39" s="526">
        <f>G$16*L$8*L$6</f>
        <v>500000</v>
      </c>
      <c r="I39" s="527"/>
      <c r="J39" s="528"/>
      <c r="K39" s="525"/>
      <c r="L39" s="526"/>
      <c r="M39" s="526"/>
      <c r="N39" s="526"/>
      <c r="O39" s="529"/>
    </row>
    <row r="40" spans="1:15">
      <c r="B40" s="488">
        <v>0.109800826407911</v>
      </c>
      <c r="C40" s="522" t="s">
        <v>38</v>
      </c>
      <c r="D40" s="522"/>
      <c r="E40" s="523"/>
      <c r="F40" s="524">
        <v>1</v>
      </c>
      <c r="G40" s="525">
        <v>10</v>
      </c>
      <c r="H40" s="526">
        <f>G$16*L$8*L$6</f>
        <v>500000</v>
      </c>
      <c r="I40" s="527"/>
      <c r="J40" s="528"/>
      <c r="K40" s="525"/>
      <c r="L40" s="526"/>
      <c r="M40" s="526"/>
      <c r="N40" s="526"/>
      <c r="O40" s="529"/>
    </row>
    <row r="41" spans="1:15" ht="15" thickBot="1">
      <c r="B41" s="488">
        <v>0.27262175588467402</v>
      </c>
      <c r="C41" s="522" t="s">
        <v>39</v>
      </c>
      <c r="D41" s="522"/>
      <c r="E41" s="523"/>
      <c r="F41" s="524">
        <v>1</v>
      </c>
      <c r="G41" s="525">
        <v>10</v>
      </c>
      <c r="H41" s="526">
        <f>G$16*L$8*L$6</f>
        <v>500000</v>
      </c>
      <c r="I41" s="527"/>
      <c r="J41" s="528"/>
      <c r="K41" s="525"/>
      <c r="L41" s="526"/>
      <c r="M41" s="526"/>
      <c r="N41" s="526"/>
      <c r="O41" s="529"/>
    </row>
    <row r="42" spans="1:15" ht="15" thickBot="1">
      <c r="A42" s="506"/>
      <c r="B42" s="488" t="e">
        <v>#N/A</v>
      </c>
      <c r="C42" s="530" t="s">
        <v>188</v>
      </c>
      <c r="D42" s="531"/>
      <c r="E42" s="532">
        <f t="shared" ref="E42:G42" si="6">SUM(E37:E41)</f>
        <v>0</v>
      </c>
      <c r="F42" s="533">
        <f t="shared" si="6"/>
        <v>5</v>
      </c>
      <c r="G42" s="534">
        <f t="shared" si="6"/>
        <v>50</v>
      </c>
      <c r="H42" s="534">
        <f>SUM(H37:H41)</f>
        <v>2500000</v>
      </c>
      <c r="I42" s="535"/>
      <c r="J42" s="536">
        <f t="shared" ref="J42:K42" si="7">SUM(J37:J41)</f>
        <v>0</v>
      </c>
      <c r="K42" s="534">
        <f t="shared" si="7"/>
        <v>0</v>
      </c>
      <c r="L42" s="537"/>
      <c r="M42" s="537"/>
      <c r="N42" s="537"/>
      <c r="O42" s="538"/>
    </row>
    <row r="43" spans="1:15">
      <c r="B43" s="488">
        <v>0.23548802058208701</v>
      </c>
      <c r="C43" s="522" t="s">
        <v>42</v>
      </c>
      <c r="D43" s="522"/>
      <c r="E43" s="523"/>
      <c r="F43" s="524">
        <v>1</v>
      </c>
      <c r="G43" s="525">
        <v>10</v>
      </c>
      <c r="H43" s="526">
        <f t="shared" ref="H43:H48" si="8">G$16*L$8*L$6</f>
        <v>500000</v>
      </c>
      <c r="I43" s="527"/>
      <c r="J43" s="528"/>
      <c r="K43" s="525"/>
      <c r="L43" s="526"/>
      <c r="M43" s="526"/>
      <c r="N43" s="526"/>
      <c r="O43" s="539"/>
    </row>
    <row r="44" spans="1:15">
      <c r="B44" s="488">
        <v>0.20875542691751101</v>
      </c>
      <c r="C44" s="522" t="s">
        <v>153</v>
      </c>
      <c r="D44" s="522"/>
      <c r="E44" s="523"/>
      <c r="F44" s="524">
        <v>1</v>
      </c>
      <c r="G44" s="525">
        <v>10</v>
      </c>
      <c r="H44" s="526">
        <f t="shared" si="8"/>
        <v>500000</v>
      </c>
      <c r="I44" s="527"/>
      <c r="J44" s="528"/>
      <c r="K44" s="525"/>
      <c r="L44" s="526"/>
      <c r="M44" s="526"/>
      <c r="N44" s="526"/>
      <c r="O44" s="529"/>
    </row>
    <row r="45" spans="1:15">
      <c r="B45" s="488">
        <v>0.19516803344589201</v>
      </c>
      <c r="C45" s="522" t="s">
        <v>154</v>
      </c>
      <c r="D45" s="522"/>
      <c r="E45" s="523"/>
      <c r="F45" s="524">
        <v>1</v>
      </c>
      <c r="G45" s="525">
        <v>10</v>
      </c>
      <c r="H45" s="526">
        <f t="shared" si="8"/>
        <v>500000</v>
      </c>
      <c r="I45" s="527"/>
      <c r="J45" s="528"/>
      <c r="K45" s="525"/>
      <c r="L45" s="526"/>
      <c r="M45" s="526"/>
      <c r="N45" s="526"/>
      <c r="O45" s="529"/>
    </row>
    <row r="46" spans="1:15" ht="15" thickBot="1">
      <c r="B46" s="488">
        <v>6.5645602186846799E-2</v>
      </c>
      <c r="C46" s="522" t="s">
        <v>47</v>
      </c>
      <c r="D46" s="522"/>
      <c r="E46" s="523"/>
      <c r="F46" s="524">
        <v>1</v>
      </c>
      <c r="G46" s="525">
        <v>10</v>
      </c>
      <c r="H46" s="526">
        <f t="shared" si="8"/>
        <v>500000</v>
      </c>
      <c r="I46" s="527"/>
      <c r="J46" s="528"/>
      <c r="K46" s="525"/>
      <c r="L46" s="526"/>
      <c r="M46" s="526"/>
      <c r="N46" s="526"/>
      <c r="O46" s="529"/>
    </row>
    <row r="47" spans="1:15" ht="15" thickBot="1">
      <c r="B47" s="488">
        <v>0.107292169159029</v>
      </c>
      <c r="C47" s="522" t="s">
        <v>48</v>
      </c>
      <c r="D47" s="577" t="s">
        <v>200</v>
      </c>
      <c r="E47" s="523"/>
      <c r="F47" s="524">
        <v>1</v>
      </c>
      <c r="G47" s="525">
        <v>10</v>
      </c>
      <c r="H47" s="526">
        <f t="shared" si="8"/>
        <v>500000</v>
      </c>
      <c r="I47" s="527">
        <v>48</v>
      </c>
      <c r="J47" s="528">
        <v>48</v>
      </c>
      <c r="K47" s="525">
        <f>48*2000</f>
        <v>96000</v>
      </c>
      <c r="L47" s="526">
        <f>48*1888</f>
        <v>90624</v>
      </c>
      <c r="M47" s="526">
        <f>48*112</f>
        <v>5376</v>
      </c>
      <c r="N47" s="540" t="s">
        <v>201</v>
      </c>
      <c r="O47" s="541" t="s">
        <v>202</v>
      </c>
    </row>
    <row r="48" spans="1:15" ht="15" thickBot="1">
      <c r="B48" s="488">
        <v>0.18765074770863499</v>
      </c>
      <c r="C48" s="522" t="s">
        <v>50</v>
      </c>
      <c r="D48" s="522" t="s">
        <v>189</v>
      </c>
      <c r="E48" s="523"/>
      <c r="F48" s="524">
        <v>1</v>
      </c>
      <c r="G48" s="525">
        <v>10</v>
      </c>
      <c r="H48" s="526">
        <f t="shared" si="8"/>
        <v>500000</v>
      </c>
      <c r="I48" s="527">
        <v>36</v>
      </c>
      <c r="J48" s="528">
        <v>36</v>
      </c>
      <c r="K48" s="525">
        <f>J48*2000</f>
        <v>72000</v>
      </c>
      <c r="L48" s="526">
        <f>J48*1888</f>
        <v>67968</v>
      </c>
      <c r="M48" s="526">
        <f>J48*112</f>
        <v>4032</v>
      </c>
      <c r="N48" s="540" t="s">
        <v>190</v>
      </c>
      <c r="O48" s="541" t="s">
        <v>203</v>
      </c>
    </row>
    <row r="49" spans="1:15" ht="15" thickBot="1">
      <c r="A49" s="506"/>
      <c r="B49" s="488" t="e">
        <v>#N/A</v>
      </c>
      <c r="C49" s="542" t="s">
        <v>192</v>
      </c>
      <c r="D49" s="543"/>
      <c r="E49" s="544">
        <f t="shared" ref="E49:G49" si="9">SUM(E43:E48)</f>
        <v>0</v>
      </c>
      <c r="F49" s="545">
        <f t="shared" si="9"/>
        <v>6</v>
      </c>
      <c r="G49" s="546">
        <f t="shared" si="9"/>
        <v>60</v>
      </c>
      <c r="H49" s="546">
        <f>SUM(H43:H48)</f>
        <v>3000000</v>
      </c>
      <c r="I49" s="537">
        <v>41</v>
      </c>
      <c r="J49" s="537">
        <f t="shared" ref="J49" si="10">SUM(J43:J48)</f>
        <v>84</v>
      </c>
      <c r="K49" s="537">
        <f>SUM(K43:K48)</f>
        <v>168000</v>
      </c>
      <c r="L49" s="537">
        <f>SUM(L43:L48)</f>
        <v>158592</v>
      </c>
      <c r="M49" s="537">
        <f>SUM(M43:M48)</f>
        <v>9408</v>
      </c>
      <c r="N49" s="537"/>
      <c r="O49" s="538"/>
    </row>
    <row r="50" spans="1:15" ht="15" thickBot="1">
      <c r="A50" s="506"/>
      <c r="B50" s="547"/>
      <c r="C50" s="548" t="s">
        <v>193</v>
      </c>
      <c r="D50" s="549" t="s">
        <v>194</v>
      </c>
      <c r="E50" s="550"/>
      <c r="F50" s="551">
        <v>1</v>
      </c>
      <c r="G50" s="551">
        <v>10</v>
      </c>
      <c r="H50" s="552">
        <f>G$16*L$8*L$6</f>
        <v>500000</v>
      </c>
      <c r="I50" s="553">
        <v>72</v>
      </c>
      <c r="J50" s="551">
        <v>72</v>
      </c>
      <c r="K50" s="551">
        <f>72*2000</f>
        <v>144000</v>
      </c>
      <c r="L50" s="551">
        <f>72*1888</f>
        <v>135936</v>
      </c>
      <c r="M50" s="551">
        <f>72*112</f>
        <v>8064</v>
      </c>
      <c r="N50" s="554" t="s">
        <v>195</v>
      </c>
      <c r="O50" s="578" t="s">
        <v>204</v>
      </c>
    </row>
    <row r="51" spans="1:15">
      <c r="A51" s="506"/>
      <c r="B51" s="547"/>
      <c r="C51" s="555"/>
      <c r="D51" s="555"/>
      <c r="E51" s="556"/>
      <c r="F51" s="557"/>
      <c r="G51" s="557">
        <v>10</v>
      </c>
      <c r="H51" s="558">
        <f>G$16*L$8*L$6</f>
        <v>500000</v>
      </c>
      <c r="I51" s="526"/>
      <c r="J51" s="557"/>
      <c r="K51" s="557"/>
      <c r="L51" s="557"/>
      <c r="M51" s="557"/>
      <c r="N51" s="559"/>
      <c r="O51" s="555"/>
    </row>
    <row r="52" spans="1:15" ht="15" thickBot="1">
      <c r="A52" s="506"/>
      <c r="B52" s="547"/>
      <c r="C52" s="538"/>
      <c r="D52" s="538"/>
      <c r="E52" s="560"/>
      <c r="F52" s="561"/>
      <c r="G52" s="561">
        <v>10</v>
      </c>
      <c r="H52" s="562">
        <f>G$16*L$8*L$6</f>
        <v>500000</v>
      </c>
      <c r="I52" s="563"/>
      <c r="J52" s="561"/>
      <c r="K52" s="561"/>
      <c r="L52" s="561"/>
      <c r="M52" s="561"/>
      <c r="N52" s="564"/>
      <c r="O52" s="555"/>
    </row>
    <row r="53" spans="1:15" ht="15" thickBot="1">
      <c r="A53" s="506"/>
      <c r="B53" s="488" t="e">
        <v>#N/A</v>
      </c>
      <c r="C53" s="565" t="s">
        <v>197</v>
      </c>
      <c r="D53" s="566"/>
      <c r="E53" s="567">
        <f>SUM(E44:E49)</f>
        <v>0</v>
      </c>
      <c r="F53" s="568">
        <v>1</v>
      </c>
      <c r="G53" s="569">
        <f t="shared" ref="G53:M53" si="11">SUM(G50:G52)</f>
        <v>30</v>
      </c>
      <c r="H53" s="569">
        <f t="shared" si="11"/>
        <v>1500000</v>
      </c>
      <c r="I53" s="570">
        <f t="shared" si="11"/>
        <v>72</v>
      </c>
      <c r="J53" s="579">
        <f t="shared" si="11"/>
        <v>72</v>
      </c>
      <c r="K53" s="569">
        <f t="shared" si="11"/>
        <v>144000</v>
      </c>
      <c r="L53" s="570">
        <f t="shared" si="11"/>
        <v>135936</v>
      </c>
      <c r="M53" s="570">
        <f t="shared" si="11"/>
        <v>8064</v>
      </c>
      <c r="N53" s="570"/>
      <c r="O53" s="555"/>
    </row>
    <row r="54" spans="1:15" ht="15" thickBot="1">
      <c r="A54" s="506"/>
      <c r="B54" s="488"/>
      <c r="C54" s="899" t="s">
        <v>198</v>
      </c>
      <c r="D54" s="900"/>
      <c r="E54" s="571">
        <f>E42+E49</f>
        <v>0</v>
      </c>
      <c r="F54" s="572">
        <f>F42+F49+F53</f>
        <v>12</v>
      </c>
      <c r="G54" s="573">
        <f>G42+G49+G53</f>
        <v>140</v>
      </c>
      <c r="H54" s="573">
        <f>H42+H49+H53</f>
        <v>7000000</v>
      </c>
      <c r="I54" s="573">
        <f t="shared" ref="I54:J54" si="12">I42+I49+I53</f>
        <v>113</v>
      </c>
      <c r="J54" s="573">
        <f t="shared" si="12"/>
        <v>156</v>
      </c>
      <c r="K54" s="573">
        <f>K42+K49+K53</f>
        <v>312000</v>
      </c>
      <c r="L54" s="573">
        <f>L42+L49+L53</f>
        <v>294528</v>
      </c>
      <c r="M54" s="573">
        <f t="shared" ref="M54" si="13">M42+M49+M53</f>
        <v>17472</v>
      </c>
      <c r="N54" s="574"/>
      <c r="O54" s="575"/>
    </row>
  </sheetData>
  <mergeCells count="8">
    <mergeCell ref="C54:D54"/>
    <mergeCell ref="A10:C11"/>
    <mergeCell ref="F12:G12"/>
    <mergeCell ref="I12:K12"/>
    <mergeCell ref="C31:D31"/>
    <mergeCell ref="A33:C34"/>
    <mergeCell ref="F35:G35"/>
    <mergeCell ref="I35:K35"/>
  </mergeCells>
  <pageMargins left="0.75" right="0.75" top="1" bottom="1" header="0.5" footer="0.5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9D61-AEBE-4E20-BA3C-9D2719A076CF}">
  <dimension ref="A1:U7"/>
  <sheetViews>
    <sheetView workbookViewId="0">
      <selection activeCell="F79" sqref="F79"/>
    </sheetView>
  </sheetViews>
  <sheetFormatPr defaultRowHeight="14.4"/>
  <cols>
    <col min="1" max="2" width="9" bestFit="1" customWidth="1"/>
    <col min="3" max="3" width="15.33203125" bestFit="1" customWidth="1"/>
    <col min="4" max="4" width="19.33203125" bestFit="1" customWidth="1"/>
    <col min="5" max="5" width="14.77734375" bestFit="1" customWidth="1"/>
    <col min="6" max="6" width="25.5546875" bestFit="1" customWidth="1"/>
    <col min="7" max="7" width="16.6640625" bestFit="1" customWidth="1"/>
    <col min="8" max="8" width="9" bestFit="1" customWidth="1"/>
    <col min="9" max="9" width="11.5546875" bestFit="1" customWidth="1"/>
    <col min="10" max="10" width="22.109375" bestFit="1" customWidth="1"/>
    <col min="11" max="11" width="22.6640625" bestFit="1" customWidth="1"/>
    <col min="12" max="12" width="25.44140625" bestFit="1" customWidth="1"/>
    <col min="13" max="14" width="30.44140625" bestFit="1" customWidth="1"/>
    <col min="15" max="15" width="15.44140625" bestFit="1" customWidth="1"/>
    <col min="16" max="16" width="11.33203125" bestFit="1" customWidth="1"/>
    <col min="17" max="17" width="20.6640625" bestFit="1" customWidth="1"/>
    <col min="18" max="18" width="20.88671875" bestFit="1" customWidth="1"/>
    <col min="19" max="19" width="10.77734375" bestFit="1" customWidth="1"/>
    <col min="20" max="20" width="15.6640625" bestFit="1" customWidth="1"/>
    <col min="21" max="21" width="14.44140625" bestFit="1" customWidth="1"/>
  </cols>
  <sheetData>
    <row r="1" spans="1:21">
      <c r="A1" s="30" t="s">
        <v>220</v>
      </c>
    </row>
    <row r="3" spans="1:21">
      <c r="A3" t="s">
        <v>155</v>
      </c>
      <c r="B3" t="s">
        <v>6</v>
      </c>
      <c r="C3" t="s">
        <v>7</v>
      </c>
      <c r="D3" t="s">
        <v>8</v>
      </c>
      <c r="E3" t="s">
        <v>9</v>
      </c>
      <c r="F3" t="s">
        <v>11</v>
      </c>
      <c r="G3" t="s">
        <v>12</v>
      </c>
      <c r="H3" t="s">
        <v>13</v>
      </c>
      <c r="I3" t="s">
        <v>14</v>
      </c>
      <c r="J3" t="s">
        <v>156</v>
      </c>
      <c r="K3" t="s">
        <v>157</v>
      </c>
      <c r="L3" t="s">
        <v>16</v>
      </c>
      <c r="M3" t="s">
        <v>158</v>
      </c>
      <c r="N3" t="s">
        <v>159</v>
      </c>
      <c r="O3" t="s">
        <v>160</v>
      </c>
      <c r="P3" t="s">
        <v>161</v>
      </c>
      <c r="Q3" t="s">
        <v>162</v>
      </c>
      <c r="R3" t="s">
        <v>163</v>
      </c>
      <c r="S3" t="s">
        <v>164</v>
      </c>
      <c r="T3" t="s">
        <v>165</v>
      </c>
      <c r="U3" t="s">
        <v>166</v>
      </c>
    </row>
    <row r="4" spans="1:21">
      <c r="B4" t="s">
        <v>52</v>
      </c>
      <c r="C4" t="s">
        <v>59</v>
      </c>
      <c r="D4" t="s">
        <v>60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</row>
    <row r="5" spans="1:21">
      <c r="B5" t="s">
        <v>52</v>
      </c>
      <c r="C5" t="s">
        <v>57</v>
      </c>
      <c r="D5" t="s">
        <v>58</v>
      </c>
      <c r="E5" t="s">
        <v>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</row>
    <row r="6" spans="1:21">
      <c r="B6" t="s">
        <v>52</v>
      </c>
      <c r="C6" t="s">
        <v>55</v>
      </c>
      <c r="D6" t="s">
        <v>56</v>
      </c>
      <c r="E6" t="s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</row>
    <row r="7" spans="1:21">
      <c r="B7" t="s">
        <v>52</v>
      </c>
      <c r="C7" t="s">
        <v>53</v>
      </c>
      <c r="D7" t="s">
        <v>54</v>
      </c>
      <c r="E7" t="s">
        <v>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6958-A3D7-4E5A-86A3-271451490B22}">
  <dimension ref="A1:U7"/>
  <sheetViews>
    <sheetView workbookViewId="0">
      <selection activeCell="F79" sqref="F79"/>
    </sheetView>
  </sheetViews>
  <sheetFormatPr defaultRowHeight="14.4"/>
  <cols>
    <col min="1" max="2" width="9" bestFit="1" customWidth="1"/>
    <col min="3" max="3" width="15.33203125" bestFit="1" customWidth="1"/>
    <col min="4" max="4" width="19.33203125" bestFit="1" customWidth="1"/>
    <col min="5" max="5" width="14.77734375" bestFit="1" customWidth="1"/>
    <col min="6" max="6" width="25.5546875" bestFit="1" customWidth="1"/>
    <col min="7" max="7" width="16.6640625" bestFit="1" customWidth="1"/>
    <col min="8" max="8" width="9" bestFit="1" customWidth="1"/>
    <col min="9" max="9" width="11.5546875" bestFit="1" customWidth="1"/>
    <col min="10" max="10" width="22.109375" bestFit="1" customWidth="1"/>
    <col min="11" max="11" width="22.6640625" bestFit="1" customWidth="1"/>
    <col min="12" max="12" width="25.44140625" bestFit="1" customWidth="1"/>
    <col min="13" max="14" width="30.44140625" bestFit="1" customWidth="1"/>
    <col min="15" max="15" width="15.44140625" bestFit="1" customWidth="1"/>
    <col min="16" max="16" width="11.33203125" bestFit="1" customWidth="1"/>
    <col min="17" max="17" width="20.6640625" bestFit="1" customWidth="1"/>
    <col min="18" max="18" width="20.88671875" bestFit="1" customWidth="1"/>
    <col min="19" max="19" width="10.77734375" bestFit="1" customWidth="1"/>
    <col min="20" max="20" width="15.6640625" bestFit="1" customWidth="1"/>
    <col min="21" max="21" width="14.44140625" bestFit="1" customWidth="1"/>
  </cols>
  <sheetData>
    <row r="1" spans="1:21">
      <c r="A1" s="30" t="s">
        <v>221</v>
      </c>
    </row>
    <row r="3" spans="1:21">
      <c r="A3" t="s">
        <v>155</v>
      </c>
      <c r="B3" t="s">
        <v>6</v>
      </c>
      <c r="C3" t="s">
        <v>7</v>
      </c>
      <c r="D3" t="s">
        <v>8</v>
      </c>
      <c r="E3" t="s">
        <v>9</v>
      </c>
      <c r="F3" t="s">
        <v>11</v>
      </c>
      <c r="G3" t="s">
        <v>12</v>
      </c>
      <c r="H3" t="s">
        <v>13</v>
      </c>
      <c r="I3" t="s">
        <v>14</v>
      </c>
      <c r="J3" t="s">
        <v>156</v>
      </c>
      <c r="K3" t="s">
        <v>157</v>
      </c>
      <c r="L3" t="s">
        <v>16</v>
      </c>
      <c r="M3" t="s">
        <v>158</v>
      </c>
      <c r="N3" t="s">
        <v>159</v>
      </c>
      <c r="O3" t="s">
        <v>160</v>
      </c>
      <c r="P3" t="s">
        <v>161</v>
      </c>
      <c r="Q3" t="s">
        <v>162</v>
      </c>
      <c r="R3" t="s">
        <v>163</v>
      </c>
      <c r="S3" t="s">
        <v>164</v>
      </c>
      <c r="T3" t="s">
        <v>165</v>
      </c>
      <c r="U3" t="s">
        <v>166</v>
      </c>
    </row>
    <row r="4" spans="1:21">
      <c r="B4" t="s">
        <v>52</v>
      </c>
      <c r="C4" t="s">
        <v>59</v>
      </c>
      <c r="D4" t="s">
        <v>60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</row>
    <row r="5" spans="1:21">
      <c r="B5" t="s">
        <v>52</v>
      </c>
      <c r="C5" t="s">
        <v>57</v>
      </c>
      <c r="D5" t="s">
        <v>58</v>
      </c>
      <c r="E5" t="s">
        <v>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</row>
    <row r="6" spans="1:21">
      <c r="B6" t="s">
        <v>52</v>
      </c>
      <c r="C6" t="s">
        <v>55</v>
      </c>
      <c r="D6" t="s">
        <v>56</v>
      </c>
      <c r="E6" t="s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</row>
    <row r="7" spans="1:21">
      <c r="B7" t="s">
        <v>52</v>
      </c>
      <c r="C7" t="s">
        <v>53</v>
      </c>
      <c r="D7" t="s">
        <v>54</v>
      </c>
      <c r="E7" t="s">
        <v>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EE36-E45A-49C7-976F-AFDC2AF052DA}">
  <dimension ref="A3:B11"/>
  <sheetViews>
    <sheetView workbookViewId="0">
      <selection activeCell="F79" sqref="F79"/>
    </sheetView>
  </sheetViews>
  <sheetFormatPr defaultRowHeight="14.4"/>
  <cols>
    <col min="1" max="1" width="12.5546875" bestFit="1" customWidth="1"/>
    <col min="2" max="2" width="11.88671875" bestFit="1" customWidth="1"/>
  </cols>
  <sheetData>
    <row r="3" spans="1:2">
      <c r="A3" s="584" t="s">
        <v>212</v>
      </c>
      <c r="B3" t="s">
        <v>264</v>
      </c>
    </row>
    <row r="4" spans="1:2">
      <c r="A4" s="585" t="s">
        <v>193</v>
      </c>
      <c r="B4">
        <v>197</v>
      </c>
    </row>
    <row r="5" spans="1:2">
      <c r="A5" s="585" t="s">
        <v>263</v>
      </c>
      <c r="B5">
        <v>70</v>
      </c>
    </row>
    <row r="6" spans="1:2">
      <c r="A6" s="585" t="s">
        <v>38</v>
      </c>
      <c r="B6">
        <v>72</v>
      </c>
    </row>
    <row r="7" spans="1:2">
      <c r="A7" s="585" t="s">
        <v>262</v>
      </c>
      <c r="B7">
        <v>97</v>
      </c>
    </row>
    <row r="8" spans="1:2">
      <c r="A8" s="585" t="s">
        <v>50</v>
      </c>
      <c r="B8">
        <v>77</v>
      </c>
    </row>
    <row r="9" spans="1:2">
      <c r="A9" s="585" t="s">
        <v>31</v>
      </c>
      <c r="B9">
        <v>62</v>
      </c>
    </row>
    <row r="10" spans="1:2">
      <c r="A10" s="585" t="s">
        <v>211</v>
      </c>
      <c r="B10">
        <v>80</v>
      </c>
    </row>
    <row r="11" spans="1:2">
      <c r="A11" s="585" t="s">
        <v>213</v>
      </c>
      <c r="B11">
        <v>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3AF-7874-4E59-9987-5FC57AA731FB}">
  <dimension ref="B1:O11"/>
  <sheetViews>
    <sheetView workbookViewId="0">
      <selection activeCell="F79" sqref="F79"/>
    </sheetView>
  </sheetViews>
  <sheetFormatPr defaultRowHeight="14.4"/>
  <sheetData>
    <row r="1" spans="2:15">
      <c r="B1" t="s">
        <v>50</v>
      </c>
      <c r="C1" t="s">
        <v>189</v>
      </c>
      <c r="D1" t="s">
        <v>207</v>
      </c>
      <c r="E1">
        <v>12</v>
      </c>
      <c r="F1">
        <v>12</v>
      </c>
      <c r="G1" s="42"/>
      <c r="H1">
        <v>1</v>
      </c>
      <c r="I1">
        <v>720</v>
      </c>
      <c r="K1">
        <v>41</v>
      </c>
      <c r="L1">
        <v>41</v>
      </c>
      <c r="M1" s="42"/>
      <c r="N1" s="43">
        <v>82000</v>
      </c>
      <c r="O1" s="43">
        <v>82000</v>
      </c>
    </row>
    <row r="2" spans="2:15">
      <c r="B2" t="s">
        <v>193</v>
      </c>
      <c r="C2" t="s">
        <v>210</v>
      </c>
      <c r="D2" t="s">
        <v>207</v>
      </c>
      <c r="E2">
        <v>12</v>
      </c>
      <c r="F2">
        <v>12</v>
      </c>
      <c r="G2" s="42"/>
      <c r="H2">
        <v>1</v>
      </c>
      <c r="I2">
        <v>720</v>
      </c>
      <c r="K2">
        <v>60</v>
      </c>
      <c r="L2">
        <v>60</v>
      </c>
      <c r="M2" s="42"/>
      <c r="N2" s="43">
        <v>120000</v>
      </c>
      <c r="O2" s="43">
        <v>120000</v>
      </c>
    </row>
    <row r="3" spans="2:15">
      <c r="B3" t="s">
        <v>211</v>
      </c>
      <c r="C3" t="s">
        <v>200</v>
      </c>
      <c r="D3" t="s">
        <v>207</v>
      </c>
      <c r="E3">
        <v>12</v>
      </c>
      <c r="F3">
        <v>12</v>
      </c>
      <c r="G3" s="42"/>
      <c r="H3">
        <v>1</v>
      </c>
      <c r="I3">
        <v>720</v>
      </c>
      <c r="K3">
        <v>48</v>
      </c>
      <c r="L3">
        <v>48</v>
      </c>
      <c r="M3" s="42"/>
      <c r="N3" s="43">
        <v>96000</v>
      </c>
      <c r="O3" s="43">
        <v>96000</v>
      </c>
    </row>
    <row r="4" spans="2:15">
      <c r="B4" t="s">
        <v>50</v>
      </c>
      <c r="C4" t="s">
        <v>189</v>
      </c>
      <c r="D4" t="s">
        <v>33</v>
      </c>
      <c r="E4">
        <v>12</v>
      </c>
      <c r="F4">
        <v>12</v>
      </c>
      <c r="G4" s="42"/>
      <c r="H4">
        <v>1</v>
      </c>
      <c r="I4">
        <v>720</v>
      </c>
      <c r="K4">
        <v>36</v>
      </c>
      <c r="L4">
        <v>36</v>
      </c>
      <c r="M4" s="42"/>
      <c r="N4" s="43">
        <v>72000</v>
      </c>
      <c r="O4" s="43">
        <v>72000</v>
      </c>
    </row>
    <row r="5" spans="2:15">
      <c r="B5" t="s">
        <v>193</v>
      </c>
      <c r="C5" t="s">
        <v>210</v>
      </c>
      <c r="D5" t="s">
        <v>207</v>
      </c>
      <c r="E5">
        <v>12</v>
      </c>
      <c r="F5">
        <v>12</v>
      </c>
      <c r="G5" s="42"/>
      <c r="H5">
        <v>1</v>
      </c>
      <c r="I5">
        <v>720</v>
      </c>
      <c r="K5">
        <v>72</v>
      </c>
      <c r="L5">
        <v>72</v>
      </c>
      <c r="M5" s="42"/>
      <c r="N5" s="43">
        <v>144000</v>
      </c>
      <c r="O5" s="43">
        <v>144000</v>
      </c>
    </row>
    <row r="6" spans="2:15">
      <c r="B6" t="s">
        <v>31</v>
      </c>
      <c r="C6" t="s">
        <v>261</v>
      </c>
      <c r="D6" t="s">
        <v>207</v>
      </c>
      <c r="E6">
        <v>12</v>
      </c>
      <c r="F6">
        <v>12</v>
      </c>
      <c r="G6" s="42"/>
      <c r="H6">
        <v>1</v>
      </c>
      <c r="I6">
        <v>720</v>
      </c>
      <c r="K6">
        <v>62</v>
      </c>
      <c r="L6">
        <v>62</v>
      </c>
      <c r="M6" s="42"/>
      <c r="N6" s="43">
        <v>124630</v>
      </c>
      <c r="O6" s="43">
        <v>117651</v>
      </c>
    </row>
    <row r="7" spans="2:15">
      <c r="B7" t="s">
        <v>38</v>
      </c>
      <c r="C7" s="587" t="s">
        <v>255</v>
      </c>
      <c r="D7" t="s">
        <v>207</v>
      </c>
      <c r="E7">
        <v>12</v>
      </c>
      <c r="F7">
        <v>12</v>
      </c>
      <c r="G7" s="42"/>
      <c r="H7">
        <v>1</v>
      </c>
      <c r="I7">
        <v>720</v>
      </c>
      <c r="K7">
        <v>72</v>
      </c>
      <c r="L7">
        <v>72</v>
      </c>
      <c r="M7" s="42"/>
      <c r="N7" s="43">
        <v>144000</v>
      </c>
      <c r="O7" s="43">
        <v>135935</v>
      </c>
    </row>
    <row r="8" spans="2:15" ht="15" thickBot="1">
      <c r="B8" t="s">
        <v>211</v>
      </c>
      <c r="C8" t="s">
        <v>200</v>
      </c>
      <c r="E8">
        <v>12</v>
      </c>
      <c r="F8">
        <v>12</v>
      </c>
      <c r="G8" s="42"/>
      <c r="H8">
        <v>1</v>
      </c>
      <c r="I8">
        <v>720</v>
      </c>
      <c r="K8">
        <v>32</v>
      </c>
      <c r="L8">
        <v>32</v>
      </c>
      <c r="M8" s="42"/>
      <c r="N8" s="43">
        <v>64000</v>
      </c>
      <c r="O8" s="43">
        <v>60416</v>
      </c>
    </row>
    <row r="9" spans="2:15">
      <c r="B9" t="s">
        <v>193</v>
      </c>
      <c r="C9" s="662" t="s">
        <v>258</v>
      </c>
      <c r="E9">
        <v>12</v>
      </c>
      <c r="F9">
        <v>12</v>
      </c>
      <c r="G9" s="42"/>
      <c r="H9">
        <v>1</v>
      </c>
      <c r="I9">
        <v>720</v>
      </c>
      <c r="K9">
        <v>65</v>
      </c>
      <c r="L9">
        <v>65</v>
      </c>
      <c r="M9" s="42"/>
      <c r="N9" s="43">
        <v>130000</v>
      </c>
      <c r="O9" s="43">
        <v>122720</v>
      </c>
    </row>
    <row r="10" spans="2:15">
      <c r="B10" t="s">
        <v>262</v>
      </c>
      <c r="C10" s="663" t="s">
        <v>259</v>
      </c>
      <c r="E10">
        <v>12</v>
      </c>
      <c r="F10">
        <v>12</v>
      </c>
      <c r="G10" s="42"/>
      <c r="H10">
        <v>1</v>
      </c>
      <c r="I10">
        <v>720</v>
      </c>
      <c r="K10">
        <v>97</v>
      </c>
      <c r="L10">
        <v>97</v>
      </c>
      <c r="M10" s="42"/>
      <c r="N10" s="43">
        <v>194000</v>
      </c>
      <c r="O10" s="43">
        <v>183136</v>
      </c>
    </row>
    <row r="11" spans="2:15">
      <c r="B11" t="s">
        <v>263</v>
      </c>
      <c r="C11" s="663" t="s">
        <v>260</v>
      </c>
      <c r="E11">
        <v>12</v>
      </c>
      <c r="F11">
        <v>12</v>
      </c>
      <c r="G11" s="42"/>
      <c r="H11">
        <v>1</v>
      </c>
      <c r="I11">
        <v>720</v>
      </c>
      <c r="K11">
        <v>70</v>
      </c>
      <c r="L11">
        <v>70</v>
      </c>
      <c r="M11" s="42"/>
      <c r="N11" s="43">
        <v>140000</v>
      </c>
      <c r="O11" s="43">
        <v>132160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3D5F-0E34-4FD4-84EE-54D38DE8730F}">
  <sheetPr>
    <tabColor theme="7" tint="0.79995117038483843"/>
  </sheetPr>
  <dimension ref="C1:AB40"/>
  <sheetViews>
    <sheetView showGridLines="0" topLeftCell="G1" zoomScale="83" zoomScaleNormal="80" workbookViewId="0">
      <selection activeCell="F79" sqref="F79"/>
    </sheetView>
  </sheetViews>
  <sheetFormatPr defaultColWidth="10.33203125" defaultRowHeight="14.4"/>
  <cols>
    <col min="1" max="1" width="1.5546875" customWidth="1"/>
    <col min="2" max="2" width="4" customWidth="1"/>
    <col min="3" max="3" width="9.109375" customWidth="1"/>
    <col min="4" max="5" width="13.5546875" customWidth="1"/>
    <col min="6" max="6" width="17.5546875" customWidth="1"/>
    <col min="7" max="7" width="12.77734375" customWidth="1"/>
    <col min="8" max="8" width="17.21875" customWidth="1"/>
    <col min="9" max="9" width="14" style="40" customWidth="1"/>
    <col min="10" max="10" width="12.88671875" style="40" customWidth="1"/>
    <col min="11" max="11" width="15.6640625" style="41" customWidth="1"/>
    <col min="12" max="12" width="21.33203125" style="40" bestFit="1" customWidth="1"/>
    <col min="13" max="13" width="13.5546875" style="40" customWidth="1"/>
    <col min="14" max="14" width="10" customWidth="1"/>
    <col min="15" max="15" width="10.33203125" customWidth="1"/>
    <col min="16" max="16" width="11.44140625" style="42" customWidth="1"/>
    <col min="17" max="17" width="13" style="43" customWidth="1"/>
    <col min="18" max="18" width="14.109375" style="43" customWidth="1"/>
    <col min="19" max="19" width="13.44140625" style="43" customWidth="1"/>
    <col min="20" max="20" width="15.21875" style="43" customWidth="1"/>
    <col min="21" max="21" width="10.44140625" style="43" customWidth="1"/>
    <col min="22" max="22" width="8.6640625" customWidth="1"/>
    <col min="23" max="23" width="10.33203125" customWidth="1"/>
    <col min="24" max="24" width="13" customWidth="1"/>
    <col min="25" max="25" width="10.33203125" customWidth="1"/>
  </cols>
  <sheetData>
    <row r="1" spans="3:28" ht="15" thickBot="1">
      <c r="L1" s="586" t="s">
        <v>219</v>
      </c>
      <c r="M1" s="40">
        <v>21</v>
      </c>
    </row>
    <row r="2" spans="3:28">
      <c r="C2" s="905"/>
      <c r="D2" s="906"/>
      <c r="E2" s="906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1"/>
      <c r="U2" s="1"/>
      <c r="V2" s="2"/>
    </row>
    <row r="3" spans="3:28">
      <c r="C3" s="3"/>
      <c r="D3" s="3"/>
      <c r="E3" s="3"/>
      <c r="F3" s="3"/>
      <c r="G3" s="3"/>
      <c r="H3" s="3"/>
      <c r="I3" s="4" t="s">
        <v>0</v>
      </c>
      <c r="J3" s="4"/>
      <c r="K3" s="5"/>
      <c r="L3" s="907" t="s">
        <v>14</v>
      </c>
      <c r="M3" s="907" t="s">
        <v>15</v>
      </c>
      <c r="N3" s="912" t="s">
        <v>20</v>
      </c>
      <c r="O3" s="913"/>
      <c r="P3" s="914"/>
      <c r="Q3" s="6" t="s">
        <v>3</v>
      </c>
      <c r="R3" s="6"/>
      <c r="S3" s="6"/>
      <c r="T3" s="7" t="s">
        <v>4</v>
      </c>
      <c r="U3" s="7"/>
      <c r="V3" s="8"/>
      <c r="AB3" s="2"/>
    </row>
    <row r="4" spans="3:28" s="12" customFormat="1" ht="53.1" customHeight="1">
      <c r="C4" s="907" t="s">
        <v>226</v>
      </c>
      <c r="D4" s="907" t="s">
        <v>6</v>
      </c>
      <c r="E4" s="907" t="s">
        <v>7</v>
      </c>
      <c r="F4" s="907" t="s">
        <v>8</v>
      </c>
      <c r="G4" s="907" t="s">
        <v>9</v>
      </c>
      <c r="H4" s="907" t="s">
        <v>10</v>
      </c>
      <c r="I4" s="907" t="s">
        <v>11</v>
      </c>
      <c r="J4" s="907" t="s">
        <v>12</v>
      </c>
      <c r="K4" s="909" t="s">
        <v>13</v>
      </c>
      <c r="L4" s="911"/>
      <c r="M4" s="911"/>
      <c r="N4" s="915"/>
      <c r="O4" s="916"/>
      <c r="P4" s="917"/>
      <c r="Q4" s="9" t="s">
        <v>3</v>
      </c>
      <c r="R4" s="9"/>
      <c r="S4" s="9"/>
      <c r="T4" s="10" t="s">
        <v>21</v>
      </c>
      <c r="U4" s="10"/>
      <c r="V4" s="11"/>
      <c r="AB4" s="13"/>
    </row>
    <row r="5" spans="3:28" ht="23.25" customHeight="1">
      <c r="C5" s="908"/>
      <c r="D5" s="908"/>
      <c r="E5" s="908"/>
      <c r="F5" s="908"/>
      <c r="G5" s="908"/>
      <c r="H5" s="908"/>
      <c r="I5" s="908"/>
      <c r="J5" s="908"/>
      <c r="K5" s="910"/>
      <c r="L5" s="908"/>
      <c r="M5" s="908"/>
      <c r="N5" s="14" t="s">
        <v>22</v>
      </c>
      <c r="O5" s="14" t="s">
        <v>23</v>
      </c>
      <c r="P5" s="15" t="s">
        <v>13</v>
      </c>
      <c r="Q5" s="16" t="s">
        <v>24</v>
      </c>
      <c r="R5" s="16" t="s">
        <v>25</v>
      </c>
      <c r="S5" s="16" t="s">
        <v>26</v>
      </c>
      <c r="T5" s="16" t="s">
        <v>27</v>
      </c>
      <c r="U5" s="16" t="s">
        <v>28</v>
      </c>
      <c r="V5" s="14" t="s">
        <v>29</v>
      </c>
      <c r="AB5" s="17"/>
    </row>
    <row r="6" spans="3:28" ht="15.75" customHeight="1">
      <c r="C6" s="18">
        <v>1</v>
      </c>
      <c r="D6" s="19" t="s">
        <v>30</v>
      </c>
      <c r="E6" s="19" t="s">
        <v>31</v>
      </c>
      <c r="F6" s="20"/>
      <c r="G6" s="18"/>
      <c r="H6" s="18"/>
      <c r="I6" s="21"/>
      <c r="J6" s="21"/>
      <c r="K6" s="22">
        <f t="shared" ref="K6:K25" si="0">IFERROR(J6/I6,0)</f>
        <v>0</v>
      </c>
      <c r="L6" s="23">
        <f>SUMIF(Total!G:G,'ATD &gt;'!E6,Total!K:K)</f>
        <v>0</v>
      </c>
      <c r="M6" s="23">
        <f>SUMIF(Total!G:G,'ATD &gt;'!E6,Total!M:M)</f>
        <v>0</v>
      </c>
      <c r="N6" s="18">
        <f t="shared" ref="N6:N25" si="1">I6*M6*$M$1</f>
        <v>0</v>
      </c>
      <c r="O6" s="18">
        <f>SUMIF(Total!G:G,'ATD &gt;'!E6,Total!P:P)</f>
        <v>0</v>
      </c>
      <c r="P6" s="24">
        <f t="shared" ref="P6:P25" si="2">IFERROR(O6/N6,0)</f>
        <v>0</v>
      </c>
      <c r="Q6" s="25">
        <f>O6*2000</f>
        <v>0</v>
      </c>
      <c r="R6" s="25">
        <f>SUMIF(Total!G:G,'ATD &gt;'!E6,Total!T:T)</f>
        <v>0</v>
      </c>
      <c r="S6" s="25">
        <f>Q6-R6</f>
        <v>0</v>
      </c>
      <c r="T6" s="25">
        <f t="shared" ref="T6:T25" si="3">I6*M6*2000*21</f>
        <v>0</v>
      </c>
      <c r="U6" s="25">
        <f>R6</f>
        <v>0</v>
      </c>
      <c r="V6" s="24">
        <f t="shared" ref="V6:V26" si="4">IFERROR(U6/T6,0)</f>
        <v>0</v>
      </c>
      <c r="X6" s="26"/>
      <c r="AB6" s="17"/>
    </row>
    <row r="7" spans="3:28" ht="15.75" customHeight="1">
      <c r="C7" s="18">
        <v>2</v>
      </c>
      <c r="D7" s="19" t="s">
        <v>30</v>
      </c>
      <c r="E7" s="19" t="s">
        <v>34</v>
      </c>
      <c r="F7" s="20"/>
      <c r="G7" s="18"/>
      <c r="H7" s="18"/>
      <c r="I7" s="21"/>
      <c r="J7" s="21"/>
      <c r="K7" s="22">
        <f t="shared" si="0"/>
        <v>0</v>
      </c>
      <c r="L7" s="23">
        <f>SUMIF(Total!G:G,'ATD &gt;'!E7,Total!K:K)</f>
        <v>0</v>
      </c>
      <c r="M7" s="23">
        <f>SUMIF(Total!G:G,'ATD &gt;'!E7,Total!M:M)</f>
        <v>0</v>
      </c>
      <c r="N7" s="18">
        <f t="shared" si="1"/>
        <v>0</v>
      </c>
      <c r="O7" s="18">
        <f>SUMIF(Total!G:G,'ATD &gt;'!E7,Total!P:P)</f>
        <v>0</v>
      </c>
      <c r="P7" s="24">
        <f t="shared" si="2"/>
        <v>0</v>
      </c>
      <c r="Q7" s="25">
        <f t="shared" ref="Q7:Q25" si="5">O7*2000</f>
        <v>0</v>
      </c>
      <c r="R7" s="25">
        <f>SUMIF(Total!G:G,'ATD &gt;'!E7,Total!T:T)</f>
        <v>0</v>
      </c>
      <c r="S7" s="25">
        <f t="shared" ref="S7:S25" si="6">Q7-R7</f>
        <v>0</v>
      </c>
      <c r="T7" s="25">
        <f t="shared" si="3"/>
        <v>0</v>
      </c>
      <c r="U7" s="25">
        <f t="shared" ref="U7:U25" si="7">R7</f>
        <v>0</v>
      </c>
      <c r="V7" s="24">
        <f t="shared" si="4"/>
        <v>0</v>
      </c>
      <c r="AB7" s="17"/>
    </row>
    <row r="8" spans="3:28" ht="15.75" customHeight="1">
      <c r="C8" s="18">
        <v>3</v>
      </c>
      <c r="D8" s="19" t="s">
        <v>30</v>
      </c>
      <c r="E8" s="19" t="s">
        <v>36</v>
      </c>
      <c r="F8" s="20"/>
      <c r="G8" s="18"/>
      <c r="H8" s="18"/>
      <c r="I8" s="21"/>
      <c r="J8" s="21"/>
      <c r="K8" s="22">
        <f t="shared" si="0"/>
        <v>0</v>
      </c>
      <c r="L8" s="23">
        <f>SUMIF(Total!G:G,'ATD &gt;'!E8,Total!K:K)</f>
        <v>120</v>
      </c>
      <c r="M8" s="23">
        <f>SUMIF(Total!G:G,'ATD &gt;'!E8,Total!M:M)</f>
        <v>10</v>
      </c>
      <c r="N8" s="18">
        <f t="shared" si="1"/>
        <v>0</v>
      </c>
      <c r="O8" s="18">
        <f>SUMIF(Total!G:G,'ATD &gt;'!E8,Total!P:P)</f>
        <v>1477</v>
      </c>
      <c r="P8" s="24">
        <f t="shared" si="2"/>
        <v>0</v>
      </c>
      <c r="Q8" s="25">
        <f t="shared" si="5"/>
        <v>2954000</v>
      </c>
      <c r="R8" s="25">
        <f>SUMIF(Total!G:G,'ATD &gt;'!E8,Total!T:T)</f>
        <v>2792792</v>
      </c>
      <c r="S8" s="25">
        <f t="shared" si="6"/>
        <v>161208</v>
      </c>
      <c r="T8" s="25">
        <f t="shared" si="3"/>
        <v>0</v>
      </c>
      <c r="U8" s="25">
        <f t="shared" si="7"/>
        <v>2792792</v>
      </c>
      <c r="V8" s="24">
        <f t="shared" si="4"/>
        <v>0</v>
      </c>
    </row>
    <row r="9" spans="3:28" ht="15.75" customHeight="1">
      <c r="C9" s="18">
        <v>4</v>
      </c>
      <c r="D9" s="19" t="s">
        <v>30</v>
      </c>
      <c r="E9" s="19" t="s">
        <v>38</v>
      </c>
      <c r="F9" s="27"/>
      <c r="G9" s="18"/>
      <c r="H9" s="18"/>
      <c r="I9" s="21"/>
      <c r="J9" s="21"/>
      <c r="K9" s="22">
        <f t="shared" si="0"/>
        <v>0</v>
      </c>
      <c r="L9" s="23">
        <f>SUMIF(Total!G:G,'ATD &gt;'!E9,Total!K:K)</f>
        <v>108</v>
      </c>
      <c r="M9" s="23">
        <f>SUMIF(Total!G:G,'ATD &gt;'!E9,Total!M:M)</f>
        <v>9</v>
      </c>
      <c r="N9" s="18">
        <f t="shared" si="1"/>
        <v>0</v>
      </c>
      <c r="O9" s="18">
        <f>SUMIF(Total!G:G,'ATD &gt;'!E9,Total!P:P)</f>
        <v>674</v>
      </c>
      <c r="P9" s="24">
        <f t="shared" si="2"/>
        <v>0</v>
      </c>
      <c r="Q9" s="25">
        <f t="shared" si="5"/>
        <v>1348000</v>
      </c>
      <c r="R9" s="25">
        <f>SUMIF(Total!G:G,'ATD &gt;'!E9,Total!T:T)</f>
        <v>1272512</v>
      </c>
      <c r="S9" s="25">
        <f t="shared" si="6"/>
        <v>75488</v>
      </c>
      <c r="T9" s="25">
        <f t="shared" si="3"/>
        <v>0</v>
      </c>
      <c r="U9" s="25">
        <f t="shared" si="7"/>
        <v>1272512</v>
      </c>
      <c r="V9" s="24">
        <f t="shared" si="4"/>
        <v>0</v>
      </c>
    </row>
    <row r="10" spans="3:28" ht="15.75" customHeight="1">
      <c r="C10" s="18">
        <v>5</v>
      </c>
      <c r="D10" s="19" t="s">
        <v>30</v>
      </c>
      <c r="E10" s="19" t="s">
        <v>39</v>
      </c>
      <c r="F10" s="20"/>
      <c r="G10" s="18"/>
      <c r="H10" s="18"/>
      <c r="I10" s="21"/>
      <c r="J10" s="21"/>
      <c r="K10" s="22">
        <f t="shared" si="0"/>
        <v>0</v>
      </c>
      <c r="L10" s="23">
        <f>SUMIF(Total!G:G,'ATD &gt;'!E10,Total!K:K)</f>
        <v>192</v>
      </c>
      <c r="M10" s="23">
        <f>SUMIF(Total!G:G,'ATD &gt;'!E10,Total!M:M)</f>
        <v>16</v>
      </c>
      <c r="N10" s="18">
        <f t="shared" si="1"/>
        <v>0</v>
      </c>
      <c r="O10" s="18">
        <f>SUMIF(Total!G:G,'ATD &gt;'!E10,Total!P:P)</f>
        <v>3399</v>
      </c>
      <c r="P10" s="24">
        <f t="shared" si="2"/>
        <v>0</v>
      </c>
      <c r="Q10" s="25">
        <f t="shared" si="5"/>
        <v>6798000</v>
      </c>
      <c r="R10" s="25">
        <f>SUMIF(Total!G:G,'ATD &gt;'!E10,Total!T:T)</f>
        <v>6476896</v>
      </c>
      <c r="S10" s="25">
        <f t="shared" si="6"/>
        <v>321104</v>
      </c>
      <c r="T10" s="25">
        <f t="shared" si="3"/>
        <v>0</v>
      </c>
      <c r="U10" s="25">
        <f t="shared" si="7"/>
        <v>6476896</v>
      </c>
      <c r="V10" s="24">
        <f t="shared" si="4"/>
        <v>0</v>
      </c>
    </row>
    <row r="11" spans="3:28" ht="15.75" customHeight="1">
      <c r="C11" s="18">
        <v>6</v>
      </c>
      <c r="D11" s="19" t="s">
        <v>41</v>
      </c>
      <c r="E11" s="19" t="s">
        <v>42</v>
      </c>
      <c r="F11" s="20"/>
      <c r="G11" s="18"/>
      <c r="H11" s="18"/>
      <c r="I11" s="21"/>
      <c r="J11" s="21"/>
      <c r="K11" s="22">
        <f t="shared" si="0"/>
        <v>0</v>
      </c>
      <c r="L11" s="23">
        <f>SUMIF(Total!G:G,'ATD &gt;'!E11,Total!K:K)</f>
        <v>12</v>
      </c>
      <c r="M11" s="23">
        <f>SUMIF(Total!G:G,'ATD &gt;'!E11,Total!M:M)</f>
        <v>1</v>
      </c>
      <c r="N11" s="18">
        <f t="shared" si="1"/>
        <v>0</v>
      </c>
      <c r="O11" s="18">
        <f>SUMIF(Total!G:G,'ATD &gt;'!E11,Total!P:P)</f>
        <v>53</v>
      </c>
      <c r="P11" s="24">
        <f t="shared" si="2"/>
        <v>0</v>
      </c>
      <c r="Q11" s="25">
        <f t="shared" si="5"/>
        <v>106000</v>
      </c>
      <c r="R11" s="25">
        <f>SUMIF(Total!G:G,'ATD &gt;'!E11,Total!T:T)</f>
        <v>100064</v>
      </c>
      <c r="S11" s="25">
        <f t="shared" si="6"/>
        <v>5936</v>
      </c>
      <c r="T11" s="25">
        <f t="shared" si="3"/>
        <v>0</v>
      </c>
      <c r="U11" s="25">
        <f t="shared" si="7"/>
        <v>100064</v>
      </c>
      <c r="V11" s="24">
        <f t="shared" si="4"/>
        <v>0</v>
      </c>
    </row>
    <row r="12" spans="3:28" ht="15.75" customHeight="1">
      <c r="C12" s="18">
        <v>7</v>
      </c>
      <c r="D12" s="19" t="s">
        <v>41</v>
      </c>
      <c r="E12" s="19" t="s">
        <v>44</v>
      </c>
      <c r="F12" s="20"/>
      <c r="G12" s="18"/>
      <c r="H12" s="18"/>
      <c r="I12" s="21"/>
      <c r="J12" s="21"/>
      <c r="K12" s="22">
        <f t="shared" si="0"/>
        <v>0</v>
      </c>
      <c r="L12" s="23">
        <f>SUMIF(Total!G:G,'ATD &gt;'!E12,Total!K:K)</f>
        <v>168</v>
      </c>
      <c r="M12" s="23">
        <f>SUMIF(Total!G:G,'ATD &gt;'!E12,Total!M:M)</f>
        <v>14</v>
      </c>
      <c r="N12" s="18">
        <f t="shared" si="1"/>
        <v>0</v>
      </c>
      <c r="O12" s="18">
        <f>SUMIF(Total!G:G,'ATD &gt;'!E12,Total!P:P)</f>
        <v>2337</v>
      </c>
      <c r="P12" s="24">
        <f t="shared" si="2"/>
        <v>0</v>
      </c>
      <c r="Q12" s="25">
        <f t="shared" si="5"/>
        <v>4674000</v>
      </c>
      <c r="R12" s="25">
        <f>SUMIF(Total!G:G,'ATD &gt;'!E12,Total!T:T)</f>
        <v>4440480</v>
      </c>
      <c r="S12" s="25">
        <f t="shared" si="6"/>
        <v>233520</v>
      </c>
      <c r="T12" s="25">
        <f t="shared" si="3"/>
        <v>0</v>
      </c>
      <c r="U12" s="25">
        <f t="shared" si="7"/>
        <v>4440480</v>
      </c>
      <c r="V12" s="24">
        <f t="shared" si="4"/>
        <v>0</v>
      </c>
    </row>
    <row r="13" spans="3:28" ht="15.75" customHeight="1">
      <c r="C13" s="18">
        <v>8</v>
      </c>
      <c r="D13" s="19" t="s">
        <v>41</v>
      </c>
      <c r="E13" s="19" t="s">
        <v>46</v>
      </c>
      <c r="F13" s="20"/>
      <c r="G13" s="18"/>
      <c r="H13" s="28"/>
      <c r="I13" s="21"/>
      <c r="J13" s="21"/>
      <c r="K13" s="22">
        <f t="shared" si="0"/>
        <v>0</v>
      </c>
      <c r="L13" s="23">
        <f>SUMIF(Total!G:G,'ATD &gt;'!E13,Total!K:K)</f>
        <v>0</v>
      </c>
      <c r="M13" s="23">
        <f>SUMIF(Total!G:G,'ATD &gt;'!E13,Total!M:M)</f>
        <v>0</v>
      </c>
      <c r="N13" s="18">
        <f t="shared" si="1"/>
        <v>0</v>
      </c>
      <c r="O13" s="18">
        <f>SUMIF(Total!G:G,'ATD &gt;'!E13,Total!P:P)</f>
        <v>0</v>
      </c>
      <c r="P13" s="24">
        <f t="shared" si="2"/>
        <v>0</v>
      </c>
      <c r="Q13" s="25">
        <f t="shared" si="5"/>
        <v>0</v>
      </c>
      <c r="R13" s="25">
        <f>SUMIF(Total!G:G,'ATD &gt;'!E13,Total!T:T)</f>
        <v>0</v>
      </c>
      <c r="S13" s="25">
        <f t="shared" si="6"/>
        <v>0</v>
      </c>
      <c r="T13" s="25">
        <f t="shared" si="3"/>
        <v>0</v>
      </c>
      <c r="U13" s="25">
        <f t="shared" si="7"/>
        <v>0</v>
      </c>
      <c r="V13" s="24">
        <f t="shared" si="4"/>
        <v>0</v>
      </c>
    </row>
    <row r="14" spans="3:28" ht="15.75" customHeight="1">
      <c r="C14" s="18">
        <v>9</v>
      </c>
      <c r="D14" s="19" t="s">
        <v>41</v>
      </c>
      <c r="E14" s="19" t="s">
        <v>47</v>
      </c>
      <c r="F14" s="20"/>
      <c r="G14" s="18"/>
      <c r="H14" s="18"/>
      <c r="I14" s="21"/>
      <c r="J14" s="21"/>
      <c r="K14" s="22">
        <f t="shared" si="0"/>
        <v>0</v>
      </c>
      <c r="L14" s="23">
        <f>SUMIF(Total!G:G,'ATD &gt;'!E14,Total!K:K)</f>
        <v>120</v>
      </c>
      <c r="M14" s="23">
        <f>SUMIF(Total!G:G,'ATD &gt;'!E14,Total!M:M)</f>
        <v>10</v>
      </c>
      <c r="N14" s="18">
        <f t="shared" si="1"/>
        <v>0</v>
      </c>
      <c r="O14" s="18">
        <f>SUMIF(Total!G:G,'ATD &gt;'!E14,Total!P:P)</f>
        <v>2240</v>
      </c>
      <c r="P14" s="24">
        <f t="shared" si="2"/>
        <v>0</v>
      </c>
      <c r="Q14" s="25">
        <f t="shared" si="5"/>
        <v>4480000</v>
      </c>
      <c r="R14" s="25">
        <f>SUMIF(Total!G:G,'ATD &gt;'!E14,Total!T:T)</f>
        <v>4265211</v>
      </c>
      <c r="S14" s="25">
        <f t="shared" si="6"/>
        <v>214789</v>
      </c>
      <c r="T14" s="25">
        <f t="shared" si="3"/>
        <v>0</v>
      </c>
      <c r="U14" s="25">
        <f t="shared" si="7"/>
        <v>4265211</v>
      </c>
      <c r="V14" s="24">
        <f t="shared" si="4"/>
        <v>0</v>
      </c>
    </row>
    <row r="15" spans="3:28" ht="15.75" customHeight="1">
      <c r="C15" s="18">
        <v>10</v>
      </c>
      <c r="D15" s="19" t="s">
        <v>41</v>
      </c>
      <c r="E15" s="19" t="s">
        <v>48</v>
      </c>
      <c r="F15" s="20" t="s">
        <v>200</v>
      </c>
      <c r="G15" s="18" t="s">
        <v>207</v>
      </c>
      <c r="H15" s="583">
        <v>46246</v>
      </c>
      <c r="I15" s="21">
        <v>12</v>
      </c>
      <c r="J15" s="21">
        <v>12</v>
      </c>
      <c r="K15" s="22">
        <f t="shared" si="0"/>
        <v>1</v>
      </c>
      <c r="L15" s="23">
        <f>SUMIF(Total!G:G,'ATD &gt;'!E15,Total!K:K)</f>
        <v>168</v>
      </c>
      <c r="M15" s="23">
        <f>SUMIF(Total!G:G,'ATD &gt;'!E15,Total!M:M)</f>
        <v>14</v>
      </c>
      <c r="N15" s="18">
        <f t="shared" si="1"/>
        <v>3528</v>
      </c>
      <c r="O15" s="18">
        <f>SUMIF(Total!G:G,'ATD &gt;'!E15,Total!P:P)</f>
        <v>1756</v>
      </c>
      <c r="P15" s="24">
        <f t="shared" si="2"/>
        <v>0.49773242630385489</v>
      </c>
      <c r="Q15" s="25">
        <f t="shared" si="5"/>
        <v>3512000</v>
      </c>
      <c r="R15" s="25">
        <f>SUMIF(Total!G:G,'ATD &gt;'!E15,Total!T:T)</f>
        <v>3315328</v>
      </c>
      <c r="S15" s="25">
        <f t="shared" si="6"/>
        <v>196672</v>
      </c>
      <c r="T15" s="25">
        <f t="shared" si="3"/>
        <v>7056000</v>
      </c>
      <c r="U15" s="25">
        <f t="shared" si="7"/>
        <v>3315328</v>
      </c>
      <c r="V15" s="24">
        <f t="shared" si="4"/>
        <v>0.46985941043083901</v>
      </c>
    </row>
    <row r="16" spans="3:28" ht="15.75" customHeight="1">
      <c r="C16" s="18">
        <v>11</v>
      </c>
      <c r="D16" s="19" t="s">
        <v>41</v>
      </c>
      <c r="E16" s="19" t="s">
        <v>50</v>
      </c>
      <c r="F16" s="20" t="s">
        <v>51</v>
      </c>
      <c r="G16" s="18" t="s">
        <v>205</v>
      </c>
      <c r="H16" s="583">
        <v>46245</v>
      </c>
      <c r="I16" s="21">
        <v>12</v>
      </c>
      <c r="J16" s="21">
        <v>12</v>
      </c>
      <c r="K16" s="22">
        <f t="shared" si="0"/>
        <v>1</v>
      </c>
      <c r="L16" s="23">
        <f>SUMIF(Total!G:G,'ATD &gt;'!E16,Total!K:K)</f>
        <v>144</v>
      </c>
      <c r="M16" s="23">
        <f>SUMIF(Total!G:G,'ATD &gt;'!E16,Total!M:M)</f>
        <v>12</v>
      </c>
      <c r="N16" s="18">
        <f t="shared" si="1"/>
        <v>3024</v>
      </c>
      <c r="O16" s="18">
        <f>SUMIF(Total!G:G,'ATD &gt;'!E16,Total!P:P)</f>
        <v>1326</v>
      </c>
      <c r="P16" s="24">
        <f t="shared" si="2"/>
        <v>0.43849206349206349</v>
      </c>
      <c r="Q16" s="25">
        <f t="shared" si="5"/>
        <v>2652000</v>
      </c>
      <c r="R16" s="25">
        <f>SUMIF(Total!G:G,'ATD &gt;'!E16,Total!T:T)</f>
        <v>2513980</v>
      </c>
      <c r="S16" s="25">
        <f t="shared" si="6"/>
        <v>138020</v>
      </c>
      <c r="T16" s="25">
        <f t="shared" si="3"/>
        <v>6048000</v>
      </c>
      <c r="U16" s="25">
        <f t="shared" si="7"/>
        <v>2513980</v>
      </c>
      <c r="V16" s="24">
        <f t="shared" si="4"/>
        <v>0.41567129629629629</v>
      </c>
      <c r="Y16" s="29"/>
    </row>
    <row r="17" spans="3:24" ht="16.5" customHeight="1">
      <c r="C17" s="18">
        <v>12</v>
      </c>
      <c r="D17" s="19" t="s">
        <v>52</v>
      </c>
      <c r="E17" s="19" t="s">
        <v>53</v>
      </c>
      <c r="F17" s="14"/>
      <c r="G17" s="18"/>
      <c r="H17" s="18"/>
      <c r="I17" s="21"/>
      <c r="J17" s="21"/>
      <c r="K17" s="22">
        <f t="shared" si="0"/>
        <v>0</v>
      </c>
      <c r="L17" s="23">
        <f>SUMIF(Total!G:G,'ATD &gt;'!E17,Total!K:K)</f>
        <v>0</v>
      </c>
      <c r="M17" s="23">
        <f>SUMIF(Total!G:G,'ATD &gt;'!E17,Total!M:M)</f>
        <v>0</v>
      </c>
      <c r="N17" s="18">
        <f t="shared" si="1"/>
        <v>0</v>
      </c>
      <c r="O17" s="18">
        <f>SUMIF(Total!G:G,'ATD &gt;'!E17,Total!P:P)</f>
        <v>0</v>
      </c>
      <c r="P17" s="22">
        <f t="shared" si="2"/>
        <v>0</v>
      </c>
      <c r="Q17" s="25">
        <f t="shared" si="5"/>
        <v>0</v>
      </c>
      <c r="R17" s="25">
        <f>SUMIF(Total!G:G,'ATD &gt;'!E17,Total!T:T)</f>
        <v>0</v>
      </c>
      <c r="S17" s="25">
        <f t="shared" si="6"/>
        <v>0</v>
      </c>
      <c r="T17" s="25">
        <f t="shared" si="3"/>
        <v>0</v>
      </c>
      <c r="U17" s="25">
        <f t="shared" si="7"/>
        <v>0</v>
      </c>
      <c r="V17" s="22">
        <f t="shared" si="4"/>
        <v>0</v>
      </c>
    </row>
    <row r="18" spans="3:24" ht="16.5" customHeight="1">
      <c r="C18" s="18">
        <v>13</v>
      </c>
      <c r="D18" s="19" t="s">
        <v>52</v>
      </c>
      <c r="E18" s="19" t="s">
        <v>55</v>
      </c>
      <c r="F18" s="14"/>
      <c r="G18" s="18"/>
      <c r="H18" s="18"/>
      <c r="I18" s="21"/>
      <c r="J18" s="21"/>
      <c r="K18" s="22">
        <f t="shared" si="0"/>
        <v>0</v>
      </c>
      <c r="L18" s="23">
        <f>SUMIF(Total!G:G,'ATD &gt;'!E18,Total!K:K)</f>
        <v>0</v>
      </c>
      <c r="M18" s="23">
        <f>SUMIF(Total!G:G,'ATD &gt;'!E18,Total!M:M)</f>
        <v>0</v>
      </c>
      <c r="N18" s="18">
        <f t="shared" si="1"/>
        <v>0</v>
      </c>
      <c r="O18" s="18">
        <f>SUMIF(Total!G:G,'ATD &gt;'!E18,Total!P:P)</f>
        <v>0</v>
      </c>
      <c r="P18" s="22">
        <f t="shared" si="2"/>
        <v>0</v>
      </c>
      <c r="Q18" s="25">
        <f t="shared" si="5"/>
        <v>0</v>
      </c>
      <c r="R18" s="25">
        <f>SUMIF(Total!G:G,'ATD &gt;'!E18,Total!T:T)</f>
        <v>0</v>
      </c>
      <c r="S18" s="25">
        <f t="shared" si="6"/>
        <v>0</v>
      </c>
      <c r="T18" s="25">
        <f t="shared" si="3"/>
        <v>0</v>
      </c>
      <c r="U18" s="25">
        <f t="shared" si="7"/>
        <v>0</v>
      </c>
      <c r="V18" s="22">
        <f t="shared" si="4"/>
        <v>0</v>
      </c>
    </row>
    <row r="19" spans="3:24" ht="16.5" customHeight="1">
      <c r="C19" s="18">
        <v>14</v>
      </c>
      <c r="D19" s="19" t="s">
        <v>52</v>
      </c>
      <c r="E19" s="30" t="s">
        <v>57</v>
      </c>
      <c r="F19" s="14"/>
      <c r="G19" s="18"/>
      <c r="H19" s="18"/>
      <c r="I19" s="21"/>
      <c r="J19" s="21"/>
      <c r="K19" s="22">
        <f t="shared" si="0"/>
        <v>0</v>
      </c>
      <c r="L19" s="23">
        <f>SUMIF(Total!G:G,'ATD &gt;'!E19,Total!K:K)</f>
        <v>0</v>
      </c>
      <c r="M19" s="23">
        <f>SUMIF(Total!G:G,'ATD &gt;'!E19,Total!M:M)</f>
        <v>0</v>
      </c>
      <c r="N19" s="18">
        <f t="shared" si="1"/>
        <v>0</v>
      </c>
      <c r="O19" s="18">
        <f>SUMIF(Total!G:G,'ATD &gt;'!E19,Total!P:P)</f>
        <v>0</v>
      </c>
      <c r="P19" s="22">
        <f t="shared" si="2"/>
        <v>0</v>
      </c>
      <c r="Q19" s="25">
        <f t="shared" si="5"/>
        <v>0</v>
      </c>
      <c r="R19" s="25">
        <f>SUMIF(Total!G:G,'ATD &gt;'!E19,Total!T:T)</f>
        <v>0</v>
      </c>
      <c r="S19" s="25">
        <f t="shared" si="6"/>
        <v>0</v>
      </c>
      <c r="T19" s="25">
        <f t="shared" si="3"/>
        <v>0</v>
      </c>
      <c r="U19" s="25">
        <f t="shared" si="7"/>
        <v>0</v>
      </c>
      <c r="V19" s="22">
        <f t="shared" si="4"/>
        <v>0</v>
      </c>
    </row>
    <row r="20" spans="3:24" ht="16.5" customHeight="1">
      <c r="C20" s="18">
        <v>15</v>
      </c>
      <c r="D20" s="19" t="s">
        <v>52</v>
      </c>
      <c r="E20" s="19" t="s">
        <v>59</v>
      </c>
      <c r="F20" s="31"/>
      <c r="G20" s="18"/>
      <c r="H20" s="28"/>
      <c r="I20" s="21"/>
      <c r="J20" s="21"/>
      <c r="K20" s="22">
        <f t="shared" si="0"/>
        <v>0</v>
      </c>
      <c r="L20" s="23">
        <f>SUMIF(Total!G:G,'ATD &gt;'!E20,Total!K:K)</f>
        <v>0</v>
      </c>
      <c r="M20" s="23">
        <f>SUMIF(Total!G:G,'ATD &gt;'!E20,Total!M:M)</f>
        <v>0</v>
      </c>
      <c r="N20" s="18">
        <f t="shared" si="1"/>
        <v>0</v>
      </c>
      <c r="O20" s="18">
        <f>SUMIF(Total!G:G,'ATD &gt;'!E20,Total!P:P)</f>
        <v>0</v>
      </c>
      <c r="P20" s="22">
        <f t="shared" si="2"/>
        <v>0</v>
      </c>
      <c r="Q20" s="25">
        <f t="shared" si="5"/>
        <v>0</v>
      </c>
      <c r="R20" s="25">
        <f>SUMIF(Total!G:G,'ATD &gt;'!E20,Total!T:T)</f>
        <v>0</v>
      </c>
      <c r="S20" s="25">
        <f t="shared" si="6"/>
        <v>0</v>
      </c>
      <c r="T20" s="25">
        <f t="shared" si="3"/>
        <v>0</v>
      </c>
      <c r="U20" s="25">
        <f t="shared" si="7"/>
        <v>0</v>
      </c>
      <c r="V20" s="22">
        <f t="shared" si="4"/>
        <v>0</v>
      </c>
    </row>
    <row r="21" spans="3:24" ht="16.5" customHeight="1">
      <c r="C21" s="18">
        <v>16</v>
      </c>
      <c r="D21" s="19" t="s">
        <v>61</v>
      </c>
      <c r="E21" s="19" t="s">
        <v>62</v>
      </c>
      <c r="F21" s="14"/>
      <c r="G21" s="18"/>
      <c r="H21" s="18"/>
      <c r="I21" s="21"/>
      <c r="J21" s="21"/>
      <c r="K21" s="22">
        <f t="shared" si="0"/>
        <v>0</v>
      </c>
      <c r="L21" s="23">
        <f>SUMIF(Total!G:G,'ATD &gt;'!E21,Total!K:K)</f>
        <v>0</v>
      </c>
      <c r="M21" s="23">
        <f>SUMIF(Total!G:G,'ATD &gt;'!E21,Total!M:M)</f>
        <v>0</v>
      </c>
      <c r="N21" s="18">
        <f t="shared" si="1"/>
        <v>0</v>
      </c>
      <c r="O21" s="18">
        <f>SUMIF(Total!G:G,'ATD &gt;'!E21,Total!P:P)</f>
        <v>0</v>
      </c>
      <c r="P21" s="22">
        <f t="shared" si="2"/>
        <v>0</v>
      </c>
      <c r="Q21" s="25">
        <f t="shared" si="5"/>
        <v>0</v>
      </c>
      <c r="R21" s="25">
        <f>SUMIF(Total!G:G,'ATD &gt;'!E21,Total!T:T)</f>
        <v>0</v>
      </c>
      <c r="S21" s="25">
        <f t="shared" si="6"/>
        <v>0</v>
      </c>
      <c r="T21" s="25">
        <f t="shared" si="3"/>
        <v>0</v>
      </c>
      <c r="U21" s="25">
        <f t="shared" si="7"/>
        <v>0</v>
      </c>
      <c r="V21" s="22">
        <f t="shared" si="4"/>
        <v>0</v>
      </c>
    </row>
    <row r="22" spans="3:24" ht="16.5" customHeight="1">
      <c r="C22" s="18">
        <v>17</v>
      </c>
      <c r="D22" s="19" t="s">
        <v>61</v>
      </c>
      <c r="E22" s="19" t="s">
        <v>64</v>
      </c>
      <c r="F22" s="14"/>
      <c r="G22" s="18"/>
      <c r="H22" s="18"/>
      <c r="I22" s="21"/>
      <c r="J22" s="21"/>
      <c r="K22" s="22">
        <f t="shared" si="0"/>
        <v>0</v>
      </c>
      <c r="L22" s="23">
        <f>SUMIF(Total!G:G,'ATD &gt;'!E22,Total!K:K)</f>
        <v>0</v>
      </c>
      <c r="M22" s="23">
        <f>SUMIF(Total!G:G,'ATD &gt;'!E22,Total!M:M)</f>
        <v>0</v>
      </c>
      <c r="N22" s="18">
        <f t="shared" si="1"/>
        <v>0</v>
      </c>
      <c r="O22" s="18">
        <f>SUMIF(Total!G:G,'ATD &gt;'!E22,Total!P:P)</f>
        <v>0</v>
      </c>
      <c r="P22" s="22">
        <f t="shared" si="2"/>
        <v>0</v>
      </c>
      <c r="Q22" s="25">
        <f t="shared" si="5"/>
        <v>0</v>
      </c>
      <c r="R22" s="25">
        <f>SUMIF(Total!G:G,'ATD &gt;'!E22,Total!T:T)</f>
        <v>0</v>
      </c>
      <c r="S22" s="25">
        <f t="shared" si="6"/>
        <v>0</v>
      </c>
      <c r="T22" s="25">
        <f t="shared" si="3"/>
        <v>0</v>
      </c>
      <c r="U22" s="25">
        <f t="shared" si="7"/>
        <v>0</v>
      </c>
      <c r="V22" s="22">
        <f t="shared" si="4"/>
        <v>0</v>
      </c>
    </row>
    <row r="23" spans="3:24" ht="16.5" customHeight="1">
      <c r="C23" s="18">
        <v>18</v>
      </c>
      <c r="D23" s="19" t="s">
        <v>61</v>
      </c>
      <c r="E23" s="19" t="s">
        <v>66</v>
      </c>
      <c r="F23" s="14"/>
      <c r="G23" s="18"/>
      <c r="H23" s="18"/>
      <c r="I23" s="21"/>
      <c r="J23" s="21"/>
      <c r="K23" s="22">
        <f t="shared" si="0"/>
        <v>0</v>
      </c>
      <c r="L23" s="23">
        <f>SUMIF(Total!G:G,'ATD &gt;'!E23,Total!K:K)</f>
        <v>0</v>
      </c>
      <c r="M23" s="23">
        <f>SUMIF(Total!G:G,'ATD &gt;'!E23,Total!M:M)</f>
        <v>0</v>
      </c>
      <c r="N23" s="18">
        <f t="shared" si="1"/>
        <v>0</v>
      </c>
      <c r="O23" s="18">
        <f>SUMIF(Total!G:G,'ATD &gt;'!E23,Total!P:P)</f>
        <v>0</v>
      </c>
      <c r="P23" s="22">
        <f t="shared" si="2"/>
        <v>0</v>
      </c>
      <c r="Q23" s="25">
        <f t="shared" si="5"/>
        <v>0</v>
      </c>
      <c r="R23" s="25">
        <f>SUMIF(Total!G:G,'ATD &gt;'!E23,Total!T:T)</f>
        <v>0</v>
      </c>
      <c r="S23" s="25">
        <f t="shared" si="6"/>
        <v>0</v>
      </c>
      <c r="T23" s="25">
        <f t="shared" si="3"/>
        <v>0</v>
      </c>
      <c r="U23" s="25">
        <f t="shared" si="7"/>
        <v>0</v>
      </c>
      <c r="V23" s="22">
        <f t="shared" si="4"/>
        <v>0</v>
      </c>
    </row>
    <row r="24" spans="3:24" ht="16.5" customHeight="1">
      <c r="C24" s="18">
        <v>19</v>
      </c>
      <c r="D24" s="19" t="s">
        <v>61</v>
      </c>
      <c r="E24" s="19" t="s">
        <v>193</v>
      </c>
      <c r="F24" s="14" t="s">
        <v>206</v>
      </c>
      <c r="G24" s="18" t="s">
        <v>205</v>
      </c>
      <c r="H24" s="583">
        <v>46245</v>
      </c>
      <c r="I24" s="21">
        <v>12</v>
      </c>
      <c r="J24" s="21">
        <v>12</v>
      </c>
      <c r="K24" s="22">
        <f t="shared" si="0"/>
        <v>1</v>
      </c>
      <c r="L24" s="23">
        <f>SUMIF(Total!G:G,'ATD &gt;'!E24,Total!K:K)</f>
        <v>144</v>
      </c>
      <c r="M24" s="23">
        <f>SUMIF(Total!G:G,'ATD &gt;'!E24,Total!M:M)</f>
        <v>12</v>
      </c>
      <c r="N24" s="18">
        <f t="shared" si="1"/>
        <v>3024</v>
      </c>
      <c r="O24" s="18">
        <f>SUMIF(Total!G:G,'ATD &gt;'!E24,Total!P:P)</f>
        <v>1686</v>
      </c>
      <c r="P24" s="22">
        <f t="shared" si="2"/>
        <v>0.55753968253968256</v>
      </c>
      <c r="Q24" s="25">
        <f t="shared" si="5"/>
        <v>3372000</v>
      </c>
      <c r="R24" s="25">
        <f>SUMIF(Total!G:G,'ATD &gt;'!E24,Total!T:T)</f>
        <v>3220296</v>
      </c>
      <c r="S24" s="25">
        <f t="shared" si="6"/>
        <v>151704</v>
      </c>
      <c r="T24" s="25">
        <f t="shared" si="3"/>
        <v>6048000</v>
      </c>
      <c r="U24" s="25">
        <f t="shared" si="7"/>
        <v>3220296</v>
      </c>
      <c r="V24" s="22">
        <f t="shared" si="4"/>
        <v>0.53245634920634921</v>
      </c>
    </row>
    <row r="25" spans="3:24" ht="16.5" customHeight="1">
      <c r="C25" s="18">
        <v>20</v>
      </c>
      <c r="D25" s="19" t="s">
        <v>61</v>
      </c>
      <c r="E25" s="19" t="s">
        <v>69</v>
      </c>
      <c r="F25" s="32"/>
      <c r="G25" s="18"/>
      <c r="H25" s="18"/>
      <c r="I25" s="21"/>
      <c r="J25" s="21"/>
      <c r="K25" s="22">
        <f t="shared" si="0"/>
        <v>0</v>
      </c>
      <c r="L25" s="23">
        <f>SUMIF(Total!G:G,'ATD &gt;'!E25,Total!K:K)</f>
        <v>156</v>
      </c>
      <c r="M25" s="23">
        <f>SUMIF(Total!G:G,'ATD &gt;'!E25,Total!M:M)</f>
        <v>13</v>
      </c>
      <c r="N25" s="18">
        <f t="shared" si="1"/>
        <v>0</v>
      </c>
      <c r="O25" s="18">
        <f>SUMIF(Total!G:G,'ATD &gt;'!E25,Total!P:P)</f>
        <v>2550</v>
      </c>
      <c r="P25" s="22">
        <f t="shared" si="2"/>
        <v>0</v>
      </c>
      <c r="Q25" s="25">
        <f t="shared" si="5"/>
        <v>5100000</v>
      </c>
      <c r="R25" s="25">
        <f>SUMIF(Total!G:G,'ATD &gt;'!E25,Total!T:T)</f>
        <v>4852412</v>
      </c>
      <c r="S25" s="25">
        <f t="shared" si="6"/>
        <v>247588</v>
      </c>
      <c r="T25" s="25">
        <f t="shared" si="3"/>
        <v>0</v>
      </c>
      <c r="U25" s="25">
        <f t="shared" si="7"/>
        <v>4852412</v>
      </c>
      <c r="V25" s="22">
        <f t="shared" si="4"/>
        <v>0</v>
      </c>
      <c r="X25" s="26"/>
    </row>
    <row r="26" spans="3:24" ht="28.2" customHeight="1">
      <c r="C26" s="33" t="s">
        <v>70</v>
      </c>
      <c r="D26" s="33"/>
      <c r="E26" s="33"/>
      <c r="F26" s="33"/>
      <c r="G26" s="33"/>
      <c r="H26" s="34"/>
      <c r="I26" s="35">
        <f>SUM(I6:I25)</f>
        <v>36</v>
      </c>
      <c r="J26" s="35">
        <f>SUM(J6:J25)</f>
        <v>36</v>
      </c>
      <c r="K26" s="36">
        <f t="shared" ref="K26" si="8">J26/I26</f>
        <v>1</v>
      </c>
      <c r="L26" s="35">
        <f>SUM(L6:L25)</f>
        <v>1332</v>
      </c>
      <c r="M26" s="35">
        <f>SUM(M6:M25)</f>
        <v>111</v>
      </c>
      <c r="N26" s="35">
        <f>SUM(N6:N25)</f>
        <v>9576</v>
      </c>
      <c r="O26" s="35">
        <f>SUM(O6:O25)</f>
        <v>17498</v>
      </c>
      <c r="P26" s="36">
        <f t="shared" ref="P26" si="9">O26/N26</f>
        <v>1.8272765246449456</v>
      </c>
      <c r="Q26" s="37">
        <f>SUM(Q6:Q25)</f>
        <v>34996000</v>
      </c>
      <c r="R26" s="37">
        <f>SUM(R6:R25)</f>
        <v>33249971</v>
      </c>
      <c r="S26" s="37">
        <f>SUM(S6:S25)</f>
        <v>1746029</v>
      </c>
      <c r="T26" s="37">
        <f>SUM(T6:T25)</f>
        <v>19152000</v>
      </c>
      <c r="U26" s="37">
        <f>SUM(U6:U25)</f>
        <v>33249971</v>
      </c>
      <c r="V26" s="38">
        <f t="shared" si="4"/>
        <v>1.7361095969089391</v>
      </c>
    </row>
    <row r="27" spans="3:24">
      <c r="C27" s="18"/>
      <c r="D27" s="18"/>
      <c r="E27" s="18"/>
      <c r="F27" s="18"/>
      <c r="G27" s="18"/>
      <c r="H27" s="18"/>
      <c r="I27" s="21"/>
      <c r="J27" s="21"/>
      <c r="K27" s="39"/>
      <c r="L27" s="21"/>
      <c r="M27" s="21"/>
      <c r="N27" s="18"/>
      <c r="O27" s="18"/>
      <c r="P27" s="24"/>
      <c r="Q27" s="25"/>
      <c r="R27" s="25"/>
      <c r="S27" s="25"/>
      <c r="T27" s="25"/>
      <c r="U27" s="25"/>
      <c r="V27" s="18"/>
    </row>
    <row r="29" spans="3:24">
      <c r="S29" s="44"/>
    </row>
    <row r="30" spans="3:24">
      <c r="I30" s="45"/>
    </row>
    <row r="33" spans="7:22" ht="15" thickBot="1">
      <c r="I33" s="922" t="s">
        <v>0</v>
      </c>
      <c r="J33" s="923"/>
      <c r="K33" s="924"/>
      <c r="L33" s="46"/>
      <c r="M33" s="46"/>
      <c r="N33" s="925"/>
      <c r="O33" s="925"/>
      <c r="P33" s="926"/>
      <c r="Q33" s="927" t="s">
        <v>3</v>
      </c>
      <c r="R33" s="928"/>
      <c r="S33" s="929"/>
      <c r="T33" s="930" t="s">
        <v>4</v>
      </c>
      <c r="U33" s="931"/>
      <c r="V33" s="932"/>
    </row>
    <row r="34" spans="7:22" ht="51" customHeight="1">
      <c r="G34" s="918" t="s">
        <v>6</v>
      </c>
      <c r="H34" s="47"/>
      <c r="I34" s="920" t="s">
        <v>11</v>
      </c>
      <c r="J34" s="920" t="s">
        <v>12</v>
      </c>
      <c r="K34" s="921" t="s">
        <v>13</v>
      </c>
      <c r="L34" s="920" t="s">
        <v>14</v>
      </c>
      <c r="M34" s="920" t="s">
        <v>15</v>
      </c>
      <c r="N34" s="49" t="s">
        <v>20</v>
      </c>
      <c r="O34" s="49"/>
      <c r="P34" s="50"/>
      <c r="Q34" s="51" t="s">
        <v>3</v>
      </c>
      <c r="R34" s="51"/>
      <c r="S34" s="51"/>
      <c r="T34" s="52" t="s">
        <v>21</v>
      </c>
      <c r="U34" s="52"/>
      <c r="V34" s="53"/>
    </row>
    <row r="35" spans="7:22" ht="23.4">
      <c r="G35" s="919"/>
      <c r="H35" s="54"/>
      <c r="I35" s="908"/>
      <c r="J35" s="908"/>
      <c r="K35" s="910"/>
      <c r="L35" s="908"/>
      <c r="M35" s="908"/>
      <c r="N35" s="14" t="s">
        <v>22</v>
      </c>
      <c r="O35" s="14" t="s">
        <v>23</v>
      </c>
      <c r="P35" s="15" t="s">
        <v>13</v>
      </c>
      <c r="Q35" s="16" t="s">
        <v>24</v>
      </c>
      <c r="R35" s="16" t="s">
        <v>25</v>
      </c>
      <c r="S35" s="16" t="s">
        <v>26</v>
      </c>
      <c r="T35" s="16" t="s">
        <v>27</v>
      </c>
      <c r="U35" s="16" t="s">
        <v>28</v>
      </c>
      <c r="V35" s="55" t="s">
        <v>29</v>
      </c>
    </row>
    <row r="36" spans="7:22">
      <c r="G36" s="56" t="s">
        <v>30</v>
      </c>
      <c r="H36" s="57"/>
      <c r="I36" s="21">
        <f t="shared" ref="I36:J39" si="10">SUMIF($D$6:$D$25,$G36,I$6:I$25)</f>
        <v>0</v>
      </c>
      <c r="J36" s="21">
        <f t="shared" si="10"/>
        <v>0</v>
      </c>
      <c r="K36" s="39" t="str">
        <f>IFERROR(J36/I36,"")</f>
        <v/>
      </c>
      <c r="L36" s="21">
        <f t="shared" ref="L36:M39" si="11">SUMIF($D$6:$D$25,$G36,L$6:L$25)</f>
        <v>420</v>
      </c>
      <c r="M36" s="21">
        <f t="shared" si="11"/>
        <v>35</v>
      </c>
      <c r="N36" s="21">
        <f t="shared" ref="N36:O39" si="12">SUMIF($D$6:$D$25,$G36,N$6:N$25)</f>
        <v>0</v>
      </c>
      <c r="O36" s="21">
        <f t="shared" si="12"/>
        <v>5550</v>
      </c>
      <c r="P36" s="39" t="str">
        <f>IFERROR(O36/N36,"")</f>
        <v/>
      </c>
      <c r="Q36" s="58">
        <f t="shared" ref="Q36:R39" si="13">SUMIF($D$6:$D$25,$G36,Q$6:Q$25)</f>
        <v>11100000</v>
      </c>
      <c r="R36" s="58">
        <f t="shared" si="13"/>
        <v>10542200</v>
      </c>
      <c r="S36" s="58">
        <f>R36-Q36</f>
        <v>-557800</v>
      </c>
      <c r="T36" s="58">
        <f t="shared" ref="T36:U39" si="14">SUMIF($D$6:$D$25,$G36,T$6:T$25)</f>
        <v>0</v>
      </c>
      <c r="U36" s="58">
        <f t="shared" si="14"/>
        <v>10542200</v>
      </c>
      <c r="V36" s="59" t="str">
        <f>IFERROR(U36/T36,"")</f>
        <v/>
      </c>
    </row>
    <row r="37" spans="7:22">
      <c r="G37" s="56" t="s">
        <v>41</v>
      </c>
      <c r="H37" s="57"/>
      <c r="I37" s="21">
        <f t="shared" si="10"/>
        <v>24</v>
      </c>
      <c r="J37" s="21">
        <f t="shared" si="10"/>
        <v>24</v>
      </c>
      <c r="K37" s="39">
        <f t="shared" ref="K37:K40" si="15">IFERROR(J37/I37,"")</f>
        <v>1</v>
      </c>
      <c r="L37" s="21">
        <f t="shared" si="11"/>
        <v>612</v>
      </c>
      <c r="M37" s="21">
        <f t="shared" si="11"/>
        <v>51</v>
      </c>
      <c r="N37" s="21">
        <f t="shared" si="12"/>
        <v>6552</v>
      </c>
      <c r="O37" s="21">
        <f t="shared" si="12"/>
        <v>7712</v>
      </c>
      <c r="P37" s="39">
        <f t="shared" ref="P37:P39" si="16">IFERROR(O37/N37,"")</f>
        <v>1.1770451770451771</v>
      </c>
      <c r="Q37" s="58">
        <f t="shared" si="13"/>
        <v>15424000</v>
      </c>
      <c r="R37" s="58">
        <f t="shared" si="13"/>
        <v>14635063</v>
      </c>
      <c r="S37" s="58">
        <f t="shared" ref="S37:S39" si="17">R37-Q37</f>
        <v>-788937</v>
      </c>
      <c r="T37" s="58">
        <f t="shared" si="14"/>
        <v>13104000</v>
      </c>
      <c r="U37" s="58">
        <f t="shared" si="14"/>
        <v>14635063</v>
      </c>
      <c r="V37" s="59">
        <f t="shared" ref="V37:V40" si="18">IFERROR(U37/T37,"")</f>
        <v>1.116839362026862</v>
      </c>
    </row>
    <row r="38" spans="7:22">
      <c r="G38" s="56" t="s">
        <v>52</v>
      </c>
      <c r="H38" s="57"/>
      <c r="I38" s="21">
        <f t="shared" si="10"/>
        <v>0</v>
      </c>
      <c r="J38" s="21">
        <f t="shared" si="10"/>
        <v>0</v>
      </c>
      <c r="K38" s="39" t="str">
        <f t="shared" si="15"/>
        <v/>
      </c>
      <c r="L38" s="21">
        <f t="shared" si="11"/>
        <v>0</v>
      </c>
      <c r="M38" s="21">
        <f t="shared" si="11"/>
        <v>0</v>
      </c>
      <c r="N38" s="21">
        <f t="shared" si="12"/>
        <v>0</v>
      </c>
      <c r="O38" s="21">
        <f t="shared" si="12"/>
        <v>0</v>
      </c>
      <c r="P38" s="39" t="str">
        <f t="shared" si="16"/>
        <v/>
      </c>
      <c r="Q38" s="58">
        <f t="shared" si="13"/>
        <v>0</v>
      </c>
      <c r="R38" s="58">
        <f t="shared" si="13"/>
        <v>0</v>
      </c>
      <c r="S38" s="58">
        <f t="shared" si="17"/>
        <v>0</v>
      </c>
      <c r="T38" s="58">
        <f t="shared" si="14"/>
        <v>0</v>
      </c>
      <c r="U38" s="58">
        <f t="shared" si="14"/>
        <v>0</v>
      </c>
      <c r="V38" s="59" t="str">
        <f t="shared" si="18"/>
        <v/>
      </c>
    </row>
    <row r="39" spans="7:22" ht="15" thickBot="1">
      <c r="G39" s="60" t="s">
        <v>61</v>
      </c>
      <c r="H39" s="61"/>
      <c r="I39" s="62">
        <f t="shared" si="10"/>
        <v>12</v>
      </c>
      <c r="J39" s="62">
        <f t="shared" si="10"/>
        <v>12</v>
      </c>
      <c r="K39" s="63">
        <f t="shared" si="15"/>
        <v>1</v>
      </c>
      <c r="L39" s="62">
        <f t="shared" si="11"/>
        <v>300</v>
      </c>
      <c r="M39" s="21">
        <f t="shared" si="11"/>
        <v>25</v>
      </c>
      <c r="N39" s="62">
        <f t="shared" si="12"/>
        <v>3024</v>
      </c>
      <c r="O39" s="62">
        <f t="shared" si="12"/>
        <v>4236</v>
      </c>
      <c r="P39" s="63">
        <f t="shared" si="16"/>
        <v>1.4007936507936507</v>
      </c>
      <c r="Q39" s="64">
        <f t="shared" si="13"/>
        <v>8472000</v>
      </c>
      <c r="R39" s="64">
        <f t="shared" si="13"/>
        <v>8072708</v>
      </c>
      <c r="S39" s="64">
        <f t="shared" si="17"/>
        <v>-399292</v>
      </c>
      <c r="T39" s="64">
        <f t="shared" si="14"/>
        <v>6048000</v>
      </c>
      <c r="U39" s="64">
        <f t="shared" si="14"/>
        <v>8072708</v>
      </c>
      <c r="V39" s="65">
        <f t="shared" si="18"/>
        <v>1.3347731481481482</v>
      </c>
    </row>
    <row r="40" spans="7:22" ht="15" thickBot="1">
      <c r="G40" s="66" t="s">
        <v>70</v>
      </c>
      <c r="H40" s="67"/>
      <c r="I40" s="68">
        <f>SUM(I36:I39)</f>
        <v>36</v>
      </c>
      <c r="J40" s="69">
        <f>SUM(J36:J39)</f>
        <v>36</v>
      </c>
      <c r="K40" s="70">
        <f t="shared" si="15"/>
        <v>1</v>
      </c>
      <c r="L40" s="68"/>
      <c r="M40" s="68">
        <f>SUMIF($D$6:$D$25,$G40,M$6:M$25)</f>
        <v>0</v>
      </c>
      <c r="N40" s="71">
        <f t="shared" ref="N40:U40" si="19">SUM(N36:N39)</f>
        <v>9576</v>
      </c>
      <c r="O40" s="71">
        <f t="shared" si="19"/>
        <v>17498</v>
      </c>
      <c r="P40" s="72">
        <f>O40/N40</f>
        <v>1.8272765246449456</v>
      </c>
      <c r="Q40" s="73">
        <f t="shared" si="19"/>
        <v>34996000</v>
      </c>
      <c r="R40" s="73">
        <f t="shared" si="19"/>
        <v>33249971</v>
      </c>
      <c r="S40" s="73">
        <f t="shared" si="19"/>
        <v>-1746029</v>
      </c>
      <c r="T40" s="74">
        <f t="shared" si="19"/>
        <v>19152000</v>
      </c>
      <c r="U40" s="75">
        <f t="shared" si="19"/>
        <v>33249971</v>
      </c>
      <c r="V40" s="76">
        <f t="shared" si="18"/>
        <v>1.7361095969089391</v>
      </c>
    </row>
  </sheetData>
  <mergeCells count="23">
    <mergeCell ref="M34:M35"/>
    <mergeCell ref="I33:K33"/>
    <mergeCell ref="N33:P33"/>
    <mergeCell ref="Q33:S33"/>
    <mergeCell ref="T33:V33"/>
    <mergeCell ref="G34:G35"/>
    <mergeCell ref="I34:I35"/>
    <mergeCell ref="J34:J35"/>
    <mergeCell ref="K34:K35"/>
    <mergeCell ref="L34:L35"/>
    <mergeCell ref="C2:S2"/>
    <mergeCell ref="D4:D5"/>
    <mergeCell ref="E4:E5"/>
    <mergeCell ref="F4:F5"/>
    <mergeCell ref="G4:G5"/>
    <mergeCell ref="H4:H5"/>
    <mergeCell ref="I4:I5"/>
    <mergeCell ref="J4:J5"/>
    <mergeCell ref="K4:K5"/>
    <mergeCell ref="C4:C5"/>
    <mergeCell ref="L3:L5"/>
    <mergeCell ref="M3:M5"/>
    <mergeCell ref="N3:P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7749-F409-48AF-896B-7A465E14E59B}">
  <sheetPr>
    <tabColor theme="4" tint="-0.249977111117893"/>
  </sheetPr>
  <dimension ref="C2:R53"/>
  <sheetViews>
    <sheetView showGridLines="0" workbookViewId="0">
      <selection activeCell="F79" sqref="F79"/>
    </sheetView>
  </sheetViews>
  <sheetFormatPr defaultColWidth="9" defaultRowHeight="14.4"/>
  <cols>
    <col min="3" max="3" width="6.5546875" customWidth="1"/>
    <col min="4" max="4" width="7.109375" customWidth="1"/>
    <col min="5" max="5" width="9.33203125" customWidth="1"/>
    <col min="6" max="6" width="8.109375" customWidth="1"/>
    <col min="7" max="8" width="12" customWidth="1"/>
    <col min="9" max="9" width="12" style="42" customWidth="1"/>
    <col min="10" max="11" width="15.33203125" style="43" customWidth="1"/>
    <col min="12" max="12" width="12" customWidth="1"/>
    <col min="13" max="14" width="15.33203125" style="43" customWidth="1"/>
    <col min="15" max="15" width="12" style="42" customWidth="1"/>
  </cols>
  <sheetData>
    <row r="2" spans="3:15" ht="15" thickBot="1"/>
    <row r="3" spans="3:15" ht="15" thickBot="1">
      <c r="C3" s="905"/>
      <c r="D3" s="906"/>
      <c r="E3" s="906"/>
      <c r="F3" s="906"/>
      <c r="G3" s="906"/>
      <c r="H3" s="906"/>
      <c r="I3" s="906"/>
      <c r="J3" s="906"/>
      <c r="K3" s="906"/>
      <c r="L3" s="906"/>
      <c r="M3" s="77"/>
      <c r="N3" s="77"/>
      <c r="O3" s="78"/>
    </row>
    <row r="4" spans="3:15" ht="15" thickBot="1">
      <c r="C4" s="933"/>
      <c r="D4" s="934"/>
      <c r="E4" s="934"/>
      <c r="F4" s="935"/>
      <c r="G4" s="79"/>
      <c r="H4" s="79"/>
      <c r="I4" s="80"/>
      <c r="J4" s="81" t="s">
        <v>3</v>
      </c>
      <c r="K4" s="81"/>
      <c r="L4" s="81"/>
      <c r="M4" s="82" t="s">
        <v>4</v>
      </c>
      <c r="N4" s="82"/>
      <c r="O4" s="83"/>
    </row>
    <row r="5" spans="3:15" ht="43.8" thickBot="1">
      <c r="C5" s="84" t="s">
        <v>5</v>
      </c>
      <c r="D5" s="85" t="s">
        <v>6</v>
      </c>
      <c r="E5" s="85" t="s">
        <v>7</v>
      </c>
      <c r="F5" s="86" t="s">
        <v>15</v>
      </c>
      <c r="G5" s="936" t="s">
        <v>20</v>
      </c>
      <c r="H5" s="937"/>
      <c r="I5" s="938"/>
      <c r="J5" s="87" t="s">
        <v>3</v>
      </c>
      <c r="K5" s="88"/>
      <c r="L5" s="89"/>
      <c r="M5" s="90" t="s">
        <v>21</v>
      </c>
      <c r="N5" s="91"/>
      <c r="O5" s="92"/>
    </row>
    <row r="6" spans="3:15">
      <c r="C6" s="93"/>
      <c r="D6" s="94"/>
      <c r="E6" s="94"/>
      <c r="F6" s="95"/>
      <c r="G6" s="93" t="s">
        <v>22</v>
      </c>
      <c r="H6" s="94" t="s">
        <v>23</v>
      </c>
      <c r="I6" s="96" t="s">
        <v>13</v>
      </c>
      <c r="J6" s="98" t="s">
        <v>24</v>
      </c>
      <c r="K6" s="99" t="s">
        <v>25</v>
      </c>
      <c r="L6" s="100" t="s">
        <v>26</v>
      </c>
      <c r="M6" s="101" t="s">
        <v>27</v>
      </c>
      <c r="N6" s="99" t="s">
        <v>28</v>
      </c>
      <c r="O6" s="96" t="s">
        <v>29</v>
      </c>
    </row>
    <row r="7" spans="3:15">
      <c r="C7" s="102">
        <f>'ATD &gt;'!C6</f>
        <v>1</v>
      </c>
      <c r="D7" s="18" t="str">
        <f>'ATD &gt;'!D6</f>
        <v>East 1</v>
      </c>
      <c r="E7" s="18" t="str">
        <f>'ATD &gt;'!E6</f>
        <v>Enugu</v>
      </c>
      <c r="F7" s="103">
        <f>SUMIF('ATD &gt;'!E:E,'REGIONAL PTD'!E7,'ATD &gt;'!M:M)</f>
        <v>0</v>
      </c>
      <c r="G7" s="102">
        <f>SUMIF('ATD &gt;'!E:E,'REGIONAL PTD'!E7,'ATD &gt;'!N:N)</f>
        <v>0</v>
      </c>
      <c r="H7" s="18">
        <f>SUMIF('ATD &gt;'!E:E,'REGIONAL PTD'!E7,'ATD &gt;'!O:O)</f>
        <v>0</v>
      </c>
      <c r="I7" s="104">
        <f>SUMIF('ATD &gt;'!E:E,'REGIONAL PTD'!E7,'ATD &gt;'!P:P)</f>
        <v>0</v>
      </c>
      <c r="J7" s="106">
        <f>SUMIF('ATD &gt;'!E:E,'REGIONAL PTD'!E7,'ATD &gt;'!Q:Q)</f>
        <v>0</v>
      </c>
      <c r="K7" s="25">
        <f>SUMIF('ATD &gt;'!E:E,'REGIONAL PTD'!E7,'ATD &gt;'!R:R)</f>
        <v>0</v>
      </c>
      <c r="L7" s="103">
        <f>SUMIF('ATD &gt;'!E:E,'REGIONAL PTD'!E7,'ATD &gt;'!S:S)</f>
        <v>0</v>
      </c>
      <c r="M7" s="107">
        <f>SUMIF('ATD &gt;'!E:E,'REGIONAL PTD'!E7,'ATD &gt;'!T:T)</f>
        <v>0</v>
      </c>
      <c r="N7" s="25">
        <f>SUMIF('ATD &gt;'!E:E,'REGIONAL PTD'!E7,'ATD &gt;'!U:U)</f>
        <v>0</v>
      </c>
      <c r="O7" s="104">
        <f>SUMIF('ATD &gt;'!E:E,'REGIONAL PTD'!E7,'ATD &gt;'!V:V)</f>
        <v>0</v>
      </c>
    </row>
    <row r="8" spans="3:15">
      <c r="C8" s="102">
        <f>'ATD &gt;'!C7</f>
        <v>2</v>
      </c>
      <c r="D8" s="18" t="str">
        <f>'ATD &gt;'!D7</f>
        <v>East 1</v>
      </c>
      <c r="E8" s="18" t="str">
        <f>'ATD &gt;'!E7</f>
        <v>Abakaliki</v>
      </c>
      <c r="F8" s="103">
        <f>SUMIF('ATD &gt;'!E:E,'REGIONAL PTD'!E8,'ATD &gt;'!M:M)</f>
        <v>0</v>
      </c>
      <c r="G8" s="102">
        <f>SUMIF('ATD &gt;'!E:E,'REGIONAL PTD'!E8,'ATD &gt;'!N:N)</f>
        <v>0</v>
      </c>
      <c r="H8" s="18">
        <f>SUMIF('ATD &gt;'!E:E,'REGIONAL PTD'!E8,'ATD &gt;'!O:O)</f>
        <v>0</v>
      </c>
      <c r="I8" s="104">
        <f>SUMIF('ATD &gt;'!E:E,'REGIONAL PTD'!E8,'ATD &gt;'!P:P)</f>
        <v>0</v>
      </c>
      <c r="J8" s="106">
        <f>SUMIF('ATD &gt;'!E:E,'REGIONAL PTD'!E8,'ATD &gt;'!Q:Q)</f>
        <v>0</v>
      </c>
      <c r="K8" s="25">
        <f>SUMIF('ATD &gt;'!E:E,'REGIONAL PTD'!E8,'ATD &gt;'!R:R)</f>
        <v>0</v>
      </c>
      <c r="L8" s="103">
        <f>SUMIF('ATD &gt;'!E:E,'REGIONAL PTD'!E8,'ATD &gt;'!S:S)</f>
        <v>0</v>
      </c>
      <c r="M8" s="107">
        <f>SUMIF('ATD &gt;'!E:E,'REGIONAL PTD'!E8,'ATD &gt;'!T:T)</f>
        <v>0</v>
      </c>
      <c r="N8" s="25">
        <f>SUMIF('ATD &gt;'!E:E,'REGIONAL PTD'!E8,'ATD &gt;'!U:U)</f>
        <v>0</v>
      </c>
      <c r="O8" s="104">
        <f>SUMIF('ATD &gt;'!E:E,'REGIONAL PTD'!E8,'ATD &gt;'!V:V)</f>
        <v>0</v>
      </c>
    </row>
    <row r="9" spans="3:15">
      <c r="C9" s="102">
        <f>'ATD &gt;'!C8</f>
        <v>3</v>
      </c>
      <c r="D9" s="18" t="str">
        <f>'ATD &gt;'!D8</f>
        <v>East 1</v>
      </c>
      <c r="E9" s="18" t="str">
        <f>'ATD &gt;'!E8</f>
        <v>Onitsha</v>
      </c>
      <c r="F9" s="103">
        <f>SUMIF('ATD &gt;'!E:E,'REGIONAL PTD'!E9,'ATD &gt;'!M:M)</f>
        <v>10</v>
      </c>
      <c r="G9" s="102">
        <f>SUMIF('ATD &gt;'!E:E,'REGIONAL PTD'!E9,'ATD &gt;'!N:N)</f>
        <v>0</v>
      </c>
      <c r="H9" s="18">
        <f>SUMIF('ATD &gt;'!E:E,'REGIONAL PTD'!E9,'ATD &gt;'!O:O)</f>
        <v>1477</v>
      </c>
      <c r="I9" s="104">
        <f>SUMIF('ATD &gt;'!E:E,'REGIONAL PTD'!E9,'ATD &gt;'!P:P)</f>
        <v>0</v>
      </c>
      <c r="J9" s="106">
        <f>SUMIF('ATD &gt;'!E:E,'REGIONAL PTD'!E9,'ATD &gt;'!Q:Q)</f>
        <v>2954000</v>
      </c>
      <c r="K9" s="25">
        <f>SUMIF('ATD &gt;'!E:E,'REGIONAL PTD'!E9,'ATD &gt;'!R:R)</f>
        <v>2792792</v>
      </c>
      <c r="L9" s="103">
        <f>SUMIF('ATD &gt;'!E:E,'REGIONAL PTD'!E9,'ATD &gt;'!S:S)</f>
        <v>161208</v>
      </c>
      <c r="M9" s="107">
        <f>SUMIF('ATD &gt;'!E:E,'REGIONAL PTD'!E9,'ATD &gt;'!T:T)</f>
        <v>0</v>
      </c>
      <c r="N9" s="25">
        <f>SUMIF('ATD &gt;'!E:E,'REGIONAL PTD'!E9,'ATD &gt;'!U:U)</f>
        <v>2792792</v>
      </c>
      <c r="O9" s="104">
        <f>SUMIF('ATD &gt;'!E:E,'REGIONAL PTD'!E9,'ATD &gt;'!V:V)</f>
        <v>0</v>
      </c>
    </row>
    <row r="10" spans="3:15">
      <c r="C10" s="102">
        <f>'ATD &gt;'!C9</f>
        <v>4</v>
      </c>
      <c r="D10" s="18" t="str">
        <f>'ATD &gt;'!D9</f>
        <v>East 1</v>
      </c>
      <c r="E10" s="18" t="str">
        <f>'ATD &gt;'!E9</f>
        <v>Asaba</v>
      </c>
      <c r="F10" s="103">
        <f>SUMIF('ATD &gt;'!E:E,'REGIONAL PTD'!E10,'ATD &gt;'!M:M)</f>
        <v>9</v>
      </c>
      <c r="G10" s="102">
        <f>SUMIF('ATD &gt;'!E:E,'REGIONAL PTD'!E10,'ATD &gt;'!N:N)</f>
        <v>0</v>
      </c>
      <c r="H10" s="18">
        <f>SUMIF('ATD &gt;'!E:E,'REGIONAL PTD'!E10,'ATD &gt;'!O:O)</f>
        <v>674</v>
      </c>
      <c r="I10" s="104">
        <f>SUMIF('ATD &gt;'!E:E,'REGIONAL PTD'!E10,'ATD &gt;'!P:P)</f>
        <v>0</v>
      </c>
      <c r="J10" s="106">
        <f>SUMIF('ATD &gt;'!E:E,'REGIONAL PTD'!E10,'ATD &gt;'!Q:Q)</f>
        <v>1348000</v>
      </c>
      <c r="K10" s="25">
        <f>SUMIF('ATD &gt;'!E:E,'REGIONAL PTD'!E10,'ATD &gt;'!R:R)</f>
        <v>1272512</v>
      </c>
      <c r="L10" s="103">
        <f>SUMIF('ATD &gt;'!E:E,'REGIONAL PTD'!E10,'ATD &gt;'!S:S)</f>
        <v>75488</v>
      </c>
      <c r="M10" s="107">
        <f>SUMIF('ATD &gt;'!E:E,'REGIONAL PTD'!E10,'ATD &gt;'!T:T)</f>
        <v>0</v>
      </c>
      <c r="N10" s="25">
        <f>SUMIF('ATD &gt;'!E:E,'REGIONAL PTD'!E10,'ATD &gt;'!U:U)</f>
        <v>1272512</v>
      </c>
      <c r="O10" s="104">
        <f>SUMIF('ATD &gt;'!E:E,'REGIONAL PTD'!E10,'ATD &gt;'!V:V)</f>
        <v>0</v>
      </c>
    </row>
    <row r="11" spans="3:15" ht="15" thickBot="1">
      <c r="C11" s="108">
        <f>'ATD &gt;'!C10</f>
        <v>5</v>
      </c>
      <c r="D11" s="109" t="str">
        <f>'ATD &gt;'!D10</f>
        <v>East 1</v>
      </c>
      <c r="E11" s="109" t="str">
        <f>'ATD &gt;'!E10</f>
        <v>Owerri</v>
      </c>
      <c r="F11" s="103">
        <f>SUMIF('ATD &gt;'!E:E,'REGIONAL PTD'!E11,'ATD &gt;'!M:M)</f>
        <v>16</v>
      </c>
      <c r="G11" s="102">
        <f>SUMIF('ATD &gt;'!E:E,'REGIONAL PTD'!E11,'ATD &gt;'!N:N)</f>
        <v>0</v>
      </c>
      <c r="H11" s="18">
        <f>SUMIF('ATD &gt;'!E:E,'REGIONAL PTD'!E11,'ATD &gt;'!O:O)</f>
        <v>3399</v>
      </c>
      <c r="I11" s="104">
        <f>SUMIF('ATD &gt;'!E:E,'REGIONAL PTD'!E11,'ATD &gt;'!P:P)</f>
        <v>0</v>
      </c>
      <c r="J11" s="106">
        <f>SUMIF('ATD &gt;'!E:E,'REGIONAL PTD'!E11,'ATD &gt;'!Q:Q)</f>
        <v>6798000</v>
      </c>
      <c r="K11" s="25">
        <f>SUMIF('ATD &gt;'!E:E,'REGIONAL PTD'!E11,'ATD &gt;'!R:R)</f>
        <v>6476896</v>
      </c>
      <c r="L11" s="103">
        <f>SUMIF('ATD &gt;'!E:E,'REGIONAL PTD'!E11,'ATD &gt;'!S:S)</f>
        <v>321104</v>
      </c>
      <c r="M11" s="107">
        <f>SUMIF('ATD &gt;'!E:E,'REGIONAL PTD'!E11,'ATD &gt;'!T:T)</f>
        <v>0</v>
      </c>
      <c r="N11" s="25">
        <f>SUMIF('ATD &gt;'!E:E,'REGIONAL PTD'!E11,'ATD &gt;'!U:U)</f>
        <v>6476896</v>
      </c>
      <c r="O11" s="104">
        <f>SUMIF('ATD &gt;'!E:E,'REGIONAL PTD'!E11,'ATD &gt;'!V:V)</f>
        <v>0</v>
      </c>
    </row>
    <row r="12" spans="3:15" ht="15" thickBot="1">
      <c r="C12" s="933" t="s">
        <v>71</v>
      </c>
      <c r="D12" s="934"/>
      <c r="E12" s="934"/>
      <c r="F12" s="934"/>
      <c r="G12" s="114">
        <f t="shared" ref="G12:N12" si="0">SUM(G7:G11)</f>
        <v>0</v>
      </c>
      <c r="H12" s="115">
        <f t="shared" si="0"/>
        <v>5550</v>
      </c>
      <c r="I12" s="116">
        <f t="shared" si="0"/>
        <v>0</v>
      </c>
      <c r="J12" s="117">
        <f t="shared" si="0"/>
        <v>11100000</v>
      </c>
      <c r="K12" s="118">
        <f t="shared" si="0"/>
        <v>10542200</v>
      </c>
      <c r="L12" s="119">
        <f t="shared" si="0"/>
        <v>557800</v>
      </c>
      <c r="M12" s="120">
        <f t="shared" si="0"/>
        <v>0</v>
      </c>
      <c r="N12" s="118">
        <f t="shared" si="0"/>
        <v>10542200</v>
      </c>
      <c r="O12" s="116" t="e">
        <f>N12/M12</f>
        <v>#DIV/0!</v>
      </c>
    </row>
    <row r="13" spans="3:15">
      <c r="G13" s="30"/>
      <c r="H13" s="30"/>
      <c r="I13" s="121"/>
      <c r="J13" s="122"/>
      <c r="K13" s="122"/>
      <c r="L13" s="30"/>
      <c r="M13" s="122"/>
      <c r="N13" s="122"/>
      <c r="O13" s="121"/>
    </row>
    <row r="15" spans="3:15" ht="15" thickBot="1"/>
    <row r="16" spans="3:15" ht="15" thickBot="1">
      <c r="C16" s="905"/>
      <c r="D16" s="906"/>
      <c r="E16" s="906"/>
      <c r="F16" s="906"/>
      <c r="G16" s="906"/>
      <c r="H16" s="906"/>
      <c r="I16" s="906"/>
      <c r="J16" s="906"/>
      <c r="K16" s="906"/>
      <c r="L16" s="906"/>
      <c r="M16" s="77"/>
      <c r="N16" s="77"/>
      <c r="O16" s="78"/>
    </row>
    <row r="17" spans="3:18" ht="15" thickBot="1">
      <c r="C17" s="933"/>
      <c r="D17" s="934"/>
      <c r="E17" s="934"/>
      <c r="F17" s="939"/>
      <c r="G17" s="79"/>
      <c r="H17" s="79"/>
      <c r="I17" s="80"/>
      <c r="J17" s="81" t="s">
        <v>3</v>
      </c>
      <c r="K17" s="81"/>
      <c r="L17" s="81"/>
      <c r="M17" s="82" t="s">
        <v>4</v>
      </c>
      <c r="N17" s="82"/>
      <c r="O17" s="83"/>
    </row>
    <row r="18" spans="3:18" ht="43.8" thickBot="1">
      <c r="C18" s="84" t="s">
        <v>5</v>
      </c>
      <c r="D18" s="85" t="s">
        <v>6</v>
      </c>
      <c r="E18" s="85" t="s">
        <v>7</v>
      </c>
      <c r="F18" s="86" t="s">
        <v>15</v>
      </c>
      <c r="G18" s="936" t="s">
        <v>20</v>
      </c>
      <c r="H18" s="937"/>
      <c r="I18" s="938"/>
      <c r="J18" s="87" t="s">
        <v>3</v>
      </c>
      <c r="K18" s="88"/>
      <c r="L18" s="89"/>
      <c r="M18" s="90" t="s">
        <v>21</v>
      </c>
      <c r="N18" s="91"/>
      <c r="O18" s="92"/>
    </row>
    <row r="19" spans="3:18">
      <c r="C19" s="93"/>
      <c r="D19" s="94"/>
      <c r="E19" s="94"/>
      <c r="F19" s="95"/>
      <c r="G19" s="93" t="s">
        <v>22</v>
      </c>
      <c r="H19" s="94" t="s">
        <v>23</v>
      </c>
      <c r="I19" s="96" t="s">
        <v>13</v>
      </c>
      <c r="J19" s="98" t="s">
        <v>24</v>
      </c>
      <c r="K19" s="99" t="s">
        <v>25</v>
      </c>
      <c r="L19" s="100" t="s">
        <v>26</v>
      </c>
      <c r="M19" s="101" t="s">
        <v>27</v>
      </c>
      <c r="N19" s="99" t="s">
        <v>28</v>
      </c>
      <c r="O19" s="96" t="s">
        <v>29</v>
      </c>
    </row>
    <row r="20" spans="3:18">
      <c r="C20" s="102">
        <v>1</v>
      </c>
      <c r="D20" s="18" t="str">
        <f>'ATD &gt;'!D11</f>
        <v>East 2</v>
      </c>
      <c r="E20" s="18" t="str">
        <f>'ATD &gt;'!E11</f>
        <v>Aba</v>
      </c>
      <c r="F20" s="103">
        <f>SUMIF('ATD &gt;'!E:E,'REGIONAL PTD'!E20,'ATD &gt;'!M:M)</f>
        <v>1</v>
      </c>
      <c r="G20" s="102">
        <f>SUMIF('ATD &gt;'!E:E,E20,'ATD &gt;'!N:N)</f>
        <v>0</v>
      </c>
      <c r="H20" s="18">
        <f>SUMIF('ATD &gt;'!E:E,'REGIONAL PTD'!E20,'ATD &gt;'!O:O)</f>
        <v>53</v>
      </c>
      <c r="I20" s="104">
        <f>SUMIF('ATD &gt;'!E:E,'REGIONAL PTD'!E20,'ATD &gt;'!P:P)</f>
        <v>0</v>
      </c>
      <c r="J20" s="106">
        <f>SUMIF('ATD &gt;'!E:E,'REGIONAL PTD'!E20,'ATD &gt;'!Q:Q)</f>
        <v>106000</v>
      </c>
      <c r="K20" s="25">
        <f>SUMIF('ATD &gt;'!E:E,'REGIONAL PTD'!E20,'ATD &gt;'!R:R)</f>
        <v>100064</v>
      </c>
      <c r="L20" s="103">
        <f>SUMIF('ATD &gt;'!E:E,'REGIONAL PTD'!E20,'ATD &gt;'!S:S)</f>
        <v>5936</v>
      </c>
      <c r="M20" s="107">
        <f>SUMIF('ATD &gt;'!E:E,'REGIONAL PTD'!E20,'ATD &gt;'!T:T)</f>
        <v>0</v>
      </c>
      <c r="N20" s="25">
        <f>SUMIF('ATD &gt;'!E:E,'REGIONAL PTD'!E20,'ATD &gt;'!U:U)</f>
        <v>100064</v>
      </c>
      <c r="O20" s="104">
        <f>SUMIF('ATD &gt;'!E:E,'REGIONAL PTD'!E20,'ATD &gt;'!V:V)</f>
        <v>0</v>
      </c>
    </row>
    <row r="21" spans="3:18">
      <c r="C21" s="102">
        <v>2</v>
      </c>
      <c r="D21" s="18" t="str">
        <f>'ATD &gt;'!D12</f>
        <v>East 2</v>
      </c>
      <c r="E21" s="18" t="str">
        <f>'ATD &gt;'!E12</f>
        <v>PHC 1</v>
      </c>
      <c r="F21" s="103">
        <f>SUMIF('ATD &gt;'!E:E,'REGIONAL PTD'!E21,'ATD &gt;'!M:M)</f>
        <v>14</v>
      </c>
      <c r="G21" s="102">
        <f>SUMIF('ATD &gt;'!E:E,E21,'ATD &gt;'!N:N)</f>
        <v>0</v>
      </c>
      <c r="H21" s="18">
        <f>SUMIF('ATD &gt;'!E:E,'REGIONAL PTD'!E21,'ATD &gt;'!O:O)</f>
        <v>2337</v>
      </c>
      <c r="I21" s="104">
        <f>SUMIF('ATD &gt;'!E:E,'REGIONAL PTD'!E21,'ATD &gt;'!P:P)</f>
        <v>0</v>
      </c>
      <c r="J21" s="106">
        <f>SUMIF('ATD &gt;'!E:E,'REGIONAL PTD'!E21,'ATD &gt;'!Q:Q)</f>
        <v>4674000</v>
      </c>
      <c r="K21" s="25">
        <f>SUMIF('ATD &gt;'!E:E,'REGIONAL PTD'!E21,'ATD &gt;'!R:R)</f>
        <v>4440480</v>
      </c>
      <c r="L21" s="103">
        <f>SUMIF('ATD &gt;'!E:E,'REGIONAL PTD'!E21,'ATD &gt;'!S:S)</f>
        <v>233520</v>
      </c>
      <c r="M21" s="107">
        <f>SUMIF('ATD &gt;'!E:E,'REGIONAL PTD'!E21,'ATD &gt;'!T:T)</f>
        <v>0</v>
      </c>
      <c r="N21" s="25">
        <f>SUMIF('ATD &gt;'!E:E,'REGIONAL PTD'!E21,'ATD &gt;'!U:U)</f>
        <v>4440480</v>
      </c>
      <c r="O21" s="104">
        <f>SUMIF('ATD &gt;'!E:E,'REGIONAL PTD'!E21,'ATD &gt;'!V:V)</f>
        <v>0</v>
      </c>
    </row>
    <row r="22" spans="3:18">
      <c r="C22" s="102">
        <v>3</v>
      </c>
      <c r="D22" s="18" t="str">
        <f>'ATD &gt;'!D13</f>
        <v>East 2</v>
      </c>
      <c r="E22" s="18" t="str">
        <f>'ATD &gt;'!E13</f>
        <v>PHC 2</v>
      </c>
      <c r="F22" s="103">
        <f>SUMIF('ATD &gt;'!E:E,'REGIONAL PTD'!E22,'ATD &gt;'!M:M)</f>
        <v>0</v>
      </c>
      <c r="G22" s="102">
        <f>SUMIF('ATD &gt;'!E:E,E22,'ATD &gt;'!N:N)</f>
        <v>0</v>
      </c>
      <c r="H22" s="18">
        <f>SUMIF('ATD &gt;'!E:E,'REGIONAL PTD'!E22,'ATD &gt;'!O:O)</f>
        <v>0</v>
      </c>
      <c r="I22" s="104">
        <f>SUMIF('ATD &gt;'!E:E,'REGIONAL PTD'!E22,'ATD &gt;'!P:P)</f>
        <v>0</v>
      </c>
      <c r="J22" s="106">
        <f>SUMIF('ATD &gt;'!E:E,'REGIONAL PTD'!E22,'ATD &gt;'!Q:Q)</f>
        <v>0</v>
      </c>
      <c r="K22" s="25">
        <f>SUMIF('ATD &gt;'!E:E,'REGIONAL PTD'!E22,'ATD &gt;'!R:R)</f>
        <v>0</v>
      </c>
      <c r="L22" s="103">
        <f>SUMIF('ATD &gt;'!E:E,'REGIONAL PTD'!E22,'ATD &gt;'!S:S)</f>
        <v>0</v>
      </c>
      <c r="M22" s="107">
        <f>SUMIF('ATD &gt;'!E:E,'REGIONAL PTD'!E22,'ATD &gt;'!T:T)</f>
        <v>0</v>
      </c>
      <c r="N22" s="25">
        <f>SUMIF('ATD &gt;'!E:E,'REGIONAL PTD'!E22,'ATD &gt;'!U:U)</f>
        <v>0</v>
      </c>
      <c r="O22" s="104">
        <f>SUMIF('ATD &gt;'!E:E,'REGIONAL PTD'!E22,'ATD &gt;'!V:V)</f>
        <v>0</v>
      </c>
    </row>
    <row r="23" spans="3:18">
      <c r="C23" s="102">
        <v>4</v>
      </c>
      <c r="D23" s="18" t="str">
        <f>'ATD &gt;'!D14</f>
        <v>East 2</v>
      </c>
      <c r="E23" s="18" t="str">
        <f>'ATD &gt;'!E14</f>
        <v>Bayelsa</v>
      </c>
      <c r="F23" s="103">
        <f>SUMIF('ATD &gt;'!E:E,'REGIONAL PTD'!E23,'ATD &gt;'!M:M)</f>
        <v>10</v>
      </c>
      <c r="G23" s="102">
        <f>SUMIF('ATD &gt;'!E:E,E23,'ATD &gt;'!N:N)</f>
        <v>0</v>
      </c>
      <c r="H23" s="18">
        <f>SUMIF('ATD &gt;'!E:E,'REGIONAL PTD'!E23,'ATD &gt;'!O:O)</f>
        <v>2240</v>
      </c>
      <c r="I23" s="104">
        <f>SUMIF('ATD &gt;'!E:E,'REGIONAL PTD'!E23,'ATD &gt;'!P:P)</f>
        <v>0</v>
      </c>
      <c r="J23" s="106">
        <f>SUMIF('ATD &gt;'!E:E,'REGIONAL PTD'!E23,'ATD &gt;'!Q:Q)</f>
        <v>4480000</v>
      </c>
      <c r="K23" s="25">
        <f>SUMIF('ATD &gt;'!E:E,'REGIONAL PTD'!E23,'ATD &gt;'!R:R)</f>
        <v>4265211</v>
      </c>
      <c r="L23" s="103">
        <f>SUMIF('ATD &gt;'!E:E,'REGIONAL PTD'!E23,'ATD &gt;'!S:S)</f>
        <v>214789</v>
      </c>
      <c r="M23" s="107">
        <f>SUMIF('ATD &gt;'!E:E,'REGIONAL PTD'!E23,'ATD &gt;'!T:T)</f>
        <v>0</v>
      </c>
      <c r="N23" s="25">
        <f>SUMIF('ATD &gt;'!E:E,'REGIONAL PTD'!E23,'ATD &gt;'!U:U)</f>
        <v>4265211</v>
      </c>
      <c r="O23" s="104">
        <f>SUMIF('ATD &gt;'!E:E,'REGIONAL PTD'!E23,'ATD &gt;'!V:V)</f>
        <v>0</v>
      </c>
    </row>
    <row r="24" spans="3:18">
      <c r="C24" s="102">
        <v>5</v>
      </c>
      <c r="D24" s="18" t="str">
        <f>'ATD &gt;'!D15</f>
        <v>East 2</v>
      </c>
      <c r="E24" s="18" t="str">
        <f>'ATD &gt;'!E15</f>
        <v>Uyo</v>
      </c>
      <c r="F24" s="103">
        <f>SUMIF('ATD &gt;'!E:E,'REGIONAL PTD'!E24,'ATD &gt;'!M:M)</f>
        <v>14</v>
      </c>
      <c r="G24" s="102">
        <f>SUMIF('ATD &gt;'!E:E,E24,'ATD &gt;'!N:N)</f>
        <v>3528</v>
      </c>
      <c r="H24" s="18">
        <f>SUMIF('ATD &gt;'!E:E,'REGIONAL PTD'!E24,'ATD &gt;'!O:O)</f>
        <v>1756</v>
      </c>
      <c r="I24" s="104">
        <f>SUMIF('ATD &gt;'!E:E,'REGIONAL PTD'!E24,'ATD &gt;'!P:P)</f>
        <v>0.49773242630385489</v>
      </c>
      <c r="J24" s="106">
        <f>SUMIF('ATD &gt;'!E:E,'REGIONAL PTD'!E24,'ATD &gt;'!Q:Q)</f>
        <v>3512000</v>
      </c>
      <c r="K24" s="25">
        <f>SUMIF('ATD &gt;'!E:E,'REGIONAL PTD'!E24,'ATD &gt;'!R:R)</f>
        <v>3315328</v>
      </c>
      <c r="L24" s="103">
        <f>SUMIF('ATD &gt;'!E:E,'REGIONAL PTD'!E24,'ATD &gt;'!S:S)</f>
        <v>196672</v>
      </c>
      <c r="M24" s="107">
        <f>SUMIF('ATD &gt;'!E:E,'REGIONAL PTD'!E24,'ATD &gt;'!T:T)</f>
        <v>7056000</v>
      </c>
      <c r="N24" s="25">
        <f>SUMIF('ATD &gt;'!E:E,'REGIONAL PTD'!E24,'ATD &gt;'!U:U)</f>
        <v>3315328</v>
      </c>
      <c r="O24" s="104">
        <f>SUMIF('ATD &gt;'!E:E,'REGIONAL PTD'!E24,'ATD &gt;'!V:V)</f>
        <v>0.46985941043083901</v>
      </c>
    </row>
    <row r="25" spans="3:18" ht="15" thickBot="1">
      <c r="C25" s="102">
        <v>6</v>
      </c>
      <c r="D25" s="109" t="str">
        <f>'ATD &gt;'!D16</f>
        <v>East 2</v>
      </c>
      <c r="E25" s="109" t="str">
        <f>'ATD &gt;'!E16</f>
        <v>Calabar</v>
      </c>
      <c r="F25" s="103">
        <f>SUMIF('ATD &gt;'!E:E,'REGIONAL PTD'!E25,'ATD &gt;'!M:M)</f>
        <v>12</v>
      </c>
      <c r="G25" s="102">
        <f>SUMIF('ATD &gt;'!E:E,E25,'ATD &gt;'!N:N)</f>
        <v>3024</v>
      </c>
      <c r="H25" s="18">
        <f>SUMIF('ATD &gt;'!E:E,'REGIONAL PTD'!E25,'ATD &gt;'!O:O)</f>
        <v>1326</v>
      </c>
      <c r="I25" s="104">
        <f>SUMIF('ATD &gt;'!E:E,'REGIONAL PTD'!E25,'ATD &gt;'!P:P)</f>
        <v>0.43849206349206349</v>
      </c>
      <c r="J25" s="106">
        <f>SUMIF('ATD &gt;'!E:E,'REGIONAL PTD'!E25,'ATD &gt;'!Q:Q)</f>
        <v>2652000</v>
      </c>
      <c r="K25" s="25">
        <f>SUMIF('ATD &gt;'!E:E,'REGIONAL PTD'!E25,'ATD &gt;'!R:R)</f>
        <v>2513980</v>
      </c>
      <c r="L25" s="103">
        <f>SUMIF('ATD &gt;'!E:E,'REGIONAL PTD'!E25,'ATD &gt;'!S:S)</f>
        <v>138020</v>
      </c>
      <c r="M25" s="107">
        <f>SUMIF('ATD &gt;'!E:E,'REGIONAL PTD'!E25,'ATD &gt;'!T:T)</f>
        <v>6048000</v>
      </c>
      <c r="N25" s="25">
        <f>SUMIF('ATD &gt;'!E:E,'REGIONAL PTD'!E25,'ATD &gt;'!U:U)</f>
        <v>2513980</v>
      </c>
      <c r="O25" s="104">
        <f>SUMIF('ATD &gt;'!E:E,'REGIONAL PTD'!E25,'ATD &gt;'!V:V)</f>
        <v>0.41567129629629629</v>
      </c>
    </row>
    <row r="26" spans="3:18" ht="15" thickBot="1">
      <c r="C26" s="933" t="s">
        <v>71</v>
      </c>
      <c r="D26" s="934"/>
      <c r="E26" s="934"/>
      <c r="F26" s="934"/>
      <c r="G26" s="114">
        <f t="shared" ref="G26:N26" si="1">SUM(G21:G25)</f>
        <v>6552</v>
      </c>
      <c r="H26" s="115">
        <f t="shared" si="1"/>
        <v>7659</v>
      </c>
      <c r="I26" s="116">
        <f t="shared" si="1"/>
        <v>0.93622448979591844</v>
      </c>
      <c r="J26" s="117">
        <f t="shared" si="1"/>
        <v>15318000</v>
      </c>
      <c r="K26" s="118">
        <f t="shared" si="1"/>
        <v>14534999</v>
      </c>
      <c r="L26" s="119">
        <f t="shared" si="1"/>
        <v>783001</v>
      </c>
      <c r="M26" s="120">
        <f t="shared" si="1"/>
        <v>13104000</v>
      </c>
      <c r="N26" s="118">
        <f t="shared" si="1"/>
        <v>14534999</v>
      </c>
      <c r="O26" s="116">
        <f>N26/M26</f>
        <v>1.1092032203907205</v>
      </c>
      <c r="P26" s="30"/>
      <c r="Q26" s="30"/>
      <c r="R26" s="30"/>
    </row>
    <row r="30" spans="3:18" ht="15" hidden="1" thickBot="1"/>
    <row r="31" spans="3:18" ht="15" hidden="1" thickBot="1">
      <c r="C31" s="933"/>
      <c r="D31" s="934"/>
      <c r="E31" s="934"/>
      <c r="F31" s="934"/>
      <c r="G31" s="934"/>
      <c r="H31" s="934"/>
      <c r="I31" s="934"/>
      <c r="J31" s="934"/>
      <c r="K31" s="934"/>
      <c r="L31" s="934"/>
      <c r="M31" s="123"/>
      <c r="N31" s="123"/>
      <c r="O31" s="124"/>
    </row>
    <row r="32" spans="3:18" ht="15" hidden="1" thickBot="1">
      <c r="C32" s="933"/>
      <c r="D32" s="934"/>
      <c r="E32" s="934"/>
      <c r="F32" s="935"/>
      <c r="G32" s="125"/>
      <c r="H32" s="125"/>
      <c r="I32" s="126"/>
      <c r="J32" s="127" t="s">
        <v>3</v>
      </c>
      <c r="K32" s="127"/>
      <c r="L32" s="127"/>
      <c r="M32" s="128" t="s">
        <v>4</v>
      </c>
      <c r="N32" s="128"/>
      <c r="O32" s="129"/>
    </row>
    <row r="33" spans="3:15" ht="43.8" hidden="1" thickBot="1">
      <c r="C33" s="84" t="s">
        <v>5</v>
      </c>
      <c r="D33" s="85" t="s">
        <v>6</v>
      </c>
      <c r="E33" s="85" t="s">
        <v>7</v>
      </c>
      <c r="F33" s="86" t="s">
        <v>15</v>
      </c>
      <c r="G33" s="936" t="s">
        <v>20</v>
      </c>
      <c r="H33" s="937"/>
      <c r="I33" s="938"/>
      <c r="J33" s="87" t="s">
        <v>3</v>
      </c>
      <c r="K33" s="88"/>
      <c r="L33" s="89"/>
      <c r="M33" s="90" t="s">
        <v>21</v>
      </c>
      <c r="N33" s="91"/>
      <c r="O33" s="92"/>
    </row>
    <row r="34" spans="3:15" hidden="1">
      <c r="C34" s="93"/>
      <c r="D34" s="94"/>
      <c r="E34" s="94"/>
      <c r="F34" s="95"/>
      <c r="G34" s="93" t="s">
        <v>22</v>
      </c>
      <c r="H34" s="94" t="s">
        <v>23</v>
      </c>
      <c r="I34" s="96" t="s">
        <v>13</v>
      </c>
      <c r="J34" s="98" t="s">
        <v>24</v>
      </c>
      <c r="K34" s="99" t="s">
        <v>25</v>
      </c>
      <c r="L34" s="100" t="s">
        <v>26</v>
      </c>
      <c r="M34" s="101" t="s">
        <v>27</v>
      </c>
      <c r="N34" s="99" t="s">
        <v>28</v>
      </c>
      <c r="O34" s="96" t="s">
        <v>29</v>
      </c>
    </row>
    <row r="35" spans="3:15" hidden="1">
      <c r="C35" s="102">
        <v>1</v>
      </c>
      <c r="D35" s="18" t="str">
        <f>'ATD &gt;'!D17</f>
        <v>West 1</v>
      </c>
      <c r="E35" s="18" t="str">
        <f>'ATD &gt;'!E17</f>
        <v>Ibadan 1</v>
      </c>
      <c r="F35" s="103">
        <f>SUMIF('ATD &gt;'!E:E,'REGIONAL PTD'!E35,'ATD &gt;'!M:M)</f>
        <v>0</v>
      </c>
      <c r="G35" s="102">
        <f>SUMIF('ATD &gt;'!E:E,E35,'ATD &gt;'!N:N)</f>
        <v>0</v>
      </c>
      <c r="H35" s="18">
        <f>SUMIF('ATD &gt;'!E:E,'REGIONAL PTD'!E35,'ATD &gt;'!O:O)</f>
        <v>0</v>
      </c>
      <c r="I35" s="104">
        <f>SUMIF('ATD &gt;'!E:E,'REGIONAL PTD'!E35,'ATD &gt;'!P:P)</f>
        <v>0</v>
      </c>
      <c r="J35" s="106">
        <f>SUMIF('ATD &gt;'!E:E,'REGIONAL PTD'!E35,'ATD &gt;'!Q:Q)</f>
        <v>0</v>
      </c>
      <c r="K35" s="25">
        <f>SUMIF('ATD &gt;'!E:E,'REGIONAL PTD'!E35,'ATD &gt;'!R:R)</f>
        <v>0</v>
      </c>
      <c r="L35" s="103">
        <f>SUMIF('ATD &gt;'!E:E,'REGIONAL PTD'!E35,'ATD &gt;'!S:S)</f>
        <v>0</v>
      </c>
      <c r="M35" s="107">
        <f>SUMIF('ATD &gt;'!E:E,'REGIONAL PTD'!E35,'ATD &gt;'!T:T)</f>
        <v>0</v>
      </c>
      <c r="N35" s="25">
        <f>SUMIF('ATD &gt;'!E:E,'REGIONAL PTD'!E35,'ATD &gt;'!U:U)</f>
        <v>0</v>
      </c>
      <c r="O35" s="104">
        <f>SUMIF('ATD &gt;'!E:E,'REGIONAL PTD'!E35,'ATD &gt;'!V:V)</f>
        <v>0</v>
      </c>
    </row>
    <row r="36" spans="3:15" hidden="1">
      <c r="C36" s="102">
        <v>2</v>
      </c>
      <c r="D36" s="18" t="str">
        <f>'ATD &gt;'!D18</f>
        <v>West 1</v>
      </c>
      <c r="E36" s="18" t="str">
        <f>'ATD &gt;'!E18</f>
        <v>Ibadan 2</v>
      </c>
      <c r="F36" s="103">
        <f>SUMIF('ATD &gt;'!E:E,'REGIONAL PTD'!E36,'ATD &gt;'!M:M)</f>
        <v>0</v>
      </c>
      <c r="G36" s="102">
        <f>SUMIF('ATD &gt;'!E:E,E36,'ATD &gt;'!N:N)</f>
        <v>0</v>
      </c>
      <c r="H36" s="18">
        <f>SUMIF('ATD &gt;'!E:E,'REGIONAL PTD'!E36,'ATD &gt;'!O:O)</f>
        <v>0</v>
      </c>
      <c r="I36" s="104">
        <f>SUMIF('ATD &gt;'!E:E,'REGIONAL PTD'!E36,'ATD &gt;'!P:P)</f>
        <v>0</v>
      </c>
      <c r="J36" s="106">
        <f>SUMIF('ATD &gt;'!E:E,'REGIONAL PTD'!E36,'ATD &gt;'!Q:Q)</f>
        <v>0</v>
      </c>
      <c r="K36" s="25">
        <f>SUMIF('ATD &gt;'!E:E,'REGIONAL PTD'!E36,'ATD &gt;'!R:R)</f>
        <v>0</v>
      </c>
      <c r="L36" s="103">
        <f>SUMIF('ATD &gt;'!E:E,'REGIONAL PTD'!E36,'ATD &gt;'!S:S)</f>
        <v>0</v>
      </c>
      <c r="M36" s="107">
        <f>SUMIF('ATD &gt;'!E:E,'REGIONAL PTD'!E36,'ATD &gt;'!T:T)</f>
        <v>0</v>
      </c>
      <c r="N36" s="25">
        <f>SUMIF('ATD &gt;'!E:E,'REGIONAL PTD'!E36,'ATD &gt;'!U:U)</f>
        <v>0</v>
      </c>
      <c r="O36" s="104">
        <f>SUMIF('ATD &gt;'!E:E,'REGIONAL PTD'!E36,'ATD &gt;'!V:V)</f>
        <v>0</v>
      </c>
    </row>
    <row r="37" spans="3:15" hidden="1">
      <c r="C37" s="102">
        <v>3</v>
      </c>
      <c r="D37" s="18" t="str">
        <f>'ATD &gt;'!D19</f>
        <v>West 1</v>
      </c>
      <c r="E37" s="18" t="str">
        <f>'ATD &gt;'!E19</f>
        <v xml:space="preserve">Oshogbo </v>
      </c>
      <c r="F37" s="103">
        <f>SUMIF('ATD &gt;'!E:E,'REGIONAL PTD'!E37,'ATD &gt;'!M:M)</f>
        <v>0</v>
      </c>
      <c r="G37" s="102">
        <f>SUMIF('ATD &gt;'!E:E,E37,'ATD &gt;'!N:N)</f>
        <v>0</v>
      </c>
      <c r="H37" s="18">
        <f>SUMIF('ATD &gt;'!E:E,'REGIONAL PTD'!E37,'ATD &gt;'!O:O)</f>
        <v>0</v>
      </c>
      <c r="I37" s="104">
        <f>SUMIF('ATD &gt;'!E:E,'REGIONAL PTD'!E37,'ATD &gt;'!P:P)</f>
        <v>0</v>
      </c>
      <c r="J37" s="106">
        <f>SUMIF('ATD &gt;'!E:E,'REGIONAL PTD'!E37,'ATD &gt;'!Q:Q)</f>
        <v>0</v>
      </c>
      <c r="K37" s="25">
        <f>SUMIF('ATD &gt;'!E:E,'REGIONAL PTD'!E37,'ATD &gt;'!R:R)</f>
        <v>0</v>
      </c>
      <c r="L37" s="103">
        <f>SUMIF('ATD &gt;'!E:E,'REGIONAL PTD'!E37,'ATD &gt;'!S:S)</f>
        <v>0</v>
      </c>
      <c r="M37" s="107">
        <f>SUMIF('ATD &gt;'!E:E,'REGIONAL PTD'!E37,'ATD &gt;'!T:T)</f>
        <v>0</v>
      </c>
      <c r="N37" s="25">
        <f>SUMIF('ATD &gt;'!E:E,'REGIONAL PTD'!E37,'ATD &gt;'!U:U)</f>
        <v>0</v>
      </c>
      <c r="O37" s="104">
        <f>SUMIF('ATD &gt;'!E:E,'REGIONAL PTD'!E37,'ATD &gt;'!V:V)</f>
        <v>0</v>
      </c>
    </row>
    <row r="38" spans="3:15" ht="15" hidden="1" thickBot="1">
      <c r="C38" s="102">
        <v>4</v>
      </c>
      <c r="D38" s="109" t="str">
        <f>'ATD &gt;'!D20</f>
        <v>West 1</v>
      </c>
      <c r="E38" s="109" t="str">
        <f>'ATD &gt;'!E20</f>
        <v>Ilorin</v>
      </c>
      <c r="F38" s="103">
        <f>SUMIF('ATD &gt;'!E:E,'REGIONAL PTD'!E38,'ATD &gt;'!M:M)</f>
        <v>0</v>
      </c>
      <c r="G38" s="102">
        <f>SUMIF('ATD &gt;'!E:E,E38,'ATD &gt;'!N:N)</f>
        <v>0</v>
      </c>
      <c r="H38" s="18">
        <f>SUMIF('ATD &gt;'!E:E,'REGIONAL PTD'!E38,'ATD &gt;'!O:O)</f>
        <v>0</v>
      </c>
      <c r="I38" s="104">
        <f>SUMIF('ATD &gt;'!E:E,'REGIONAL PTD'!E38,'ATD &gt;'!P:P)</f>
        <v>0</v>
      </c>
      <c r="J38" s="106">
        <f>SUMIF('ATD &gt;'!E:E,'REGIONAL PTD'!E38,'ATD &gt;'!Q:Q)</f>
        <v>0</v>
      </c>
      <c r="K38" s="25">
        <f>SUMIF('ATD &gt;'!E:E,'REGIONAL PTD'!E38,'ATD &gt;'!R:R)</f>
        <v>0</v>
      </c>
      <c r="L38" s="103">
        <f>SUMIF('ATD &gt;'!E:E,'REGIONAL PTD'!E38,'ATD &gt;'!S:S)</f>
        <v>0</v>
      </c>
      <c r="M38" s="107">
        <f>SUMIF('ATD &gt;'!E:E,'REGIONAL PTD'!E38,'ATD &gt;'!T:T)</f>
        <v>0</v>
      </c>
      <c r="N38" s="25">
        <f>SUMIF('ATD &gt;'!E:E,'REGIONAL PTD'!E38,'ATD &gt;'!U:U)</f>
        <v>0</v>
      </c>
      <c r="O38" s="104">
        <f>SUMIF('ATD &gt;'!E:E,'REGIONAL PTD'!E38,'ATD &gt;'!V:V)</f>
        <v>0</v>
      </c>
    </row>
    <row r="39" spans="3:15" ht="15" hidden="1" thickBot="1">
      <c r="C39" s="933" t="s">
        <v>71</v>
      </c>
      <c r="D39" s="934"/>
      <c r="E39" s="934"/>
      <c r="F39" s="934"/>
      <c r="G39" s="114">
        <f t="shared" ref="G39:N39" si="2">SUM(G34:G38)</f>
        <v>0</v>
      </c>
      <c r="H39" s="115">
        <f t="shared" si="2"/>
        <v>0</v>
      </c>
      <c r="I39" s="116">
        <f t="shared" si="2"/>
        <v>0</v>
      </c>
      <c r="J39" s="117">
        <f t="shared" si="2"/>
        <v>0</v>
      </c>
      <c r="K39" s="118">
        <f t="shared" si="2"/>
        <v>0</v>
      </c>
      <c r="L39" s="119">
        <f t="shared" si="2"/>
        <v>0</v>
      </c>
      <c r="M39" s="120">
        <f t="shared" si="2"/>
        <v>0</v>
      </c>
      <c r="N39" s="118">
        <f t="shared" si="2"/>
        <v>0</v>
      </c>
      <c r="O39" s="116" t="e">
        <f>N39/M39</f>
        <v>#DIV/0!</v>
      </c>
    </row>
    <row r="40" spans="3:15" hidden="1">
      <c r="G40" s="30"/>
      <c r="H40" s="30"/>
      <c r="I40" s="121"/>
      <c r="J40" s="122"/>
      <c r="K40" s="122"/>
      <c r="L40" s="30"/>
      <c r="M40" s="122"/>
      <c r="N40" s="122"/>
      <c r="O40" s="121"/>
    </row>
    <row r="41" spans="3:15" hidden="1"/>
    <row r="42" spans="3:15" hidden="1"/>
    <row r="43" spans="3:15" ht="15" thickBot="1"/>
    <row r="44" spans="3:15" ht="15" thickBot="1">
      <c r="C44" s="905"/>
      <c r="D44" s="906"/>
      <c r="E44" s="906"/>
      <c r="F44" s="906"/>
      <c r="G44" s="906"/>
      <c r="H44" s="906"/>
      <c r="I44" s="906"/>
      <c r="J44" s="906"/>
      <c r="K44" s="906"/>
      <c r="L44" s="906"/>
      <c r="M44" s="77"/>
      <c r="N44" s="77"/>
      <c r="O44" s="78"/>
    </row>
    <row r="45" spans="3:15" ht="15" thickBot="1">
      <c r="C45" s="933"/>
      <c r="D45" s="934"/>
      <c r="E45" s="934"/>
      <c r="F45" s="935"/>
      <c r="G45" s="79"/>
      <c r="H45" s="79"/>
      <c r="I45" s="80"/>
      <c r="J45" s="81" t="s">
        <v>3</v>
      </c>
      <c r="K45" s="81"/>
      <c r="L45" s="81"/>
      <c r="M45" s="82" t="s">
        <v>4</v>
      </c>
      <c r="N45" s="82"/>
      <c r="O45" s="83"/>
    </row>
    <row r="46" spans="3:15" ht="43.8" thickBot="1">
      <c r="C46" s="84" t="s">
        <v>5</v>
      </c>
      <c r="D46" s="85" t="s">
        <v>6</v>
      </c>
      <c r="E46" s="85" t="s">
        <v>7</v>
      </c>
      <c r="F46" s="86" t="s">
        <v>15</v>
      </c>
      <c r="G46" s="936" t="s">
        <v>20</v>
      </c>
      <c r="H46" s="937"/>
      <c r="I46" s="938"/>
      <c r="J46" s="87" t="s">
        <v>3</v>
      </c>
      <c r="K46" s="88"/>
      <c r="L46" s="89"/>
      <c r="M46" s="90" t="s">
        <v>21</v>
      </c>
      <c r="N46" s="91"/>
      <c r="O46" s="92"/>
    </row>
    <row r="47" spans="3:15">
      <c r="C47" s="93"/>
      <c r="D47" s="94"/>
      <c r="E47" s="94"/>
      <c r="F47" s="95"/>
      <c r="G47" s="93" t="s">
        <v>22</v>
      </c>
      <c r="H47" s="94" t="s">
        <v>23</v>
      </c>
      <c r="I47" s="96" t="s">
        <v>13</v>
      </c>
      <c r="J47" s="98" t="s">
        <v>24</v>
      </c>
      <c r="K47" s="99" t="s">
        <v>25</v>
      </c>
      <c r="L47" s="100" t="s">
        <v>26</v>
      </c>
      <c r="M47" s="101" t="s">
        <v>27</v>
      </c>
      <c r="N47" s="99" t="s">
        <v>28</v>
      </c>
      <c r="O47" s="96" t="s">
        <v>29</v>
      </c>
    </row>
    <row r="48" spans="3:15">
      <c r="C48" s="102">
        <v>1</v>
      </c>
      <c r="D48" s="18" t="str">
        <f>'ATD &gt;'!D21</f>
        <v>West 2</v>
      </c>
      <c r="E48" s="18" t="str">
        <f>'ATD &gt;'!E21</f>
        <v>Benin 1</v>
      </c>
      <c r="F48" s="103">
        <f>SUMIF('ATD &gt;'!E:E,'REGIONAL PTD'!E48,'ATD &gt;'!M:M)</f>
        <v>0</v>
      </c>
      <c r="G48" s="102">
        <f>SUMIF('ATD &gt;'!E:E,E48,'ATD &gt;'!N:N)</f>
        <v>0</v>
      </c>
      <c r="H48" s="18">
        <f>SUMIF('ATD &gt;'!E:E,'REGIONAL PTD'!E48,'ATD &gt;'!O:O)</f>
        <v>0</v>
      </c>
      <c r="I48" s="104">
        <f>SUMIF('ATD &gt;'!E:E,'REGIONAL PTD'!E48,'ATD &gt;'!P:P)</f>
        <v>0</v>
      </c>
      <c r="J48" s="106">
        <f>SUMIF('ATD &gt;'!E:E,'REGIONAL PTD'!E48,'ATD &gt;'!Q:Q)</f>
        <v>0</v>
      </c>
      <c r="K48" s="25">
        <f>SUMIF('ATD &gt;'!E:E,'REGIONAL PTD'!E48,'ATD &gt;'!R:R)</f>
        <v>0</v>
      </c>
      <c r="L48" s="103">
        <f>SUMIF('ATD &gt;'!E:E,'REGIONAL PTD'!E48,'ATD &gt;'!S:S)</f>
        <v>0</v>
      </c>
      <c r="M48" s="107">
        <f>SUMIF('ATD &gt;'!E:E,'REGIONAL PTD'!E48,'ATD &gt;'!T:T)</f>
        <v>0</v>
      </c>
      <c r="N48" s="25">
        <f>SUMIF('ATD &gt;'!E:E,'REGIONAL PTD'!E48,'ATD &gt;'!U:U)</f>
        <v>0</v>
      </c>
      <c r="O48" s="104">
        <f>SUMIF('ATD &gt;'!E:E,'REGIONAL PTD'!E48,'ATD &gt;'!V:V)</f>
        <v>0</v>
      </c>
    </row>
    <row r="49" spans="3:15">
      <c r="C49" s="102">
        <v>2</v>
      </c>
      <c r="D49" s="18" t="str">
        <f>'ATD &gt;'!D22</f>
        <v>West 2</v>
      </c>
      <c r="E49" s="18" t="str">
        <f>'ATD &gt;'!E22</f>
        <v>Benin 2</v>
      </c>
      <c r="F49" s="103">
        <f>SUMIF('ATD &gt;'!E:E,'REGIONAL PTD'!E49,'ATD &gt;'!M:M)</f>
        <v>0</v>
      </c>
      <c r="G49" s="102">
        <f>SUMIF('ATD &gt;'!E:E,E49,'ATD &gt;'!N:N)</f>
        <v>0</v>
      </c>
      <c r="H49" s="18">
        <f>SUMIF('ATD &gt;'!E:E,'REGIONAL PTD'!E49,'ATD &gt;'!O:O)</f>
        <v>0</v>
      </c>
      <c r="I49" s="104">
        <f>SUMIF('ATD &gt;'!E:E,'REGIONAL PTD'!E49,'ATD &gt;'!P:P)</f>
        <v>0</v>
      </c>
      <c r="J49" s="106">
        <f>SUMIF('ATD &gt;'!E:E,'REGIONAL PTD'!E49,'ATD &gt;'!Q:Q)</f>
        <v>0</v>
      </c>
      <c r="K49" s="25">
        <f>SUMIF('ATD &gt;'!E:E,'REGIONAL PTD'!E49,'ATD &gt;'!R:R)</f>
        <v>0</v>
      </c>
      <c r="L49" s="103">
        <f>SUMIF('ATD &gt;'!E:E,'REGIONAL PTD'!E49,'ATD &gt;'!S:S)</f>
        <v>0</v>
      </c>
      <c r="M49" s="107">
        <f>SUMIF('ATD &gt;'!E:E,'REGIONAL PTD'!E49,'ATD &gt;'!T:T)</f>
        <v>0</v>
      </c>
      <c r="N49" s="25">
        <f>SUMIF('ATD &gt;'!E:E,'REGIONAL PTD'!E49,'ATD &gt;'!U:U)</f>
        <v>0</v>
      </c>
      <c r="O49" s="104">
        <f>SUMIF('ATD &gt;'!E:E,'REGIONAL PTD'!E49,'ATD &gt;'!V:V)</f>
        <v>0</v>
      </c>
    </row>
    <row r="50" spans="3:15">
      <c r="C50" s="102">
        <v>3</v>
      </c>
      <c r="D50" s="18" t="str">
        <f>'ATD &gt;'!D23</f>
        <v>West 2</v>
      </c>
      <c r="E50" s="18" t="str">
        <f>'ATD &gt;'!E23</f>
        <v>Akure 1</v>
      </c>
      <c r="F50" s="103">
        <f>SUMIF('ATD &gt;'!E:E,'REGIONAL PTD'!E50,'ATD &gt;'!M:M)</f>
        <v>0</v>
      </c>
      <c r="G50" s="102">
        <f>SUMIF('ATD &gt;'!E:E,E50,'ATD &gt;'!N:N)</f>
        <v>0</v>
      </c>
      <c r="H50" s="18">
        <f>SUMIF('ATD &gt;'!E:E,'REGIONAL PTD'!E50,'ATD &gt;'!O:O)</f>
        <v>0</v>
      </c>
      <c r="I50" s="104">
        <f>SUMIF('ATD &gt;'!E:E,'REGIONAL PTD'!E50,'ATD &gt;'!P:P)</f>
        <v>0</v>
      </c>
      <c r="J50" s="106">
        <f>SUMIF('ATD &gt;'!E:E,'REGIONAL PTD'!E50,'ATD &gt;'!Q:Q)</f>
        <v>0</v>
      </c>
      <c r="K50" s="25">
        <f>SUMIF('ATD &gt;'!E:E,'REGIONAL PTD'!E50,'ATD &gt;'!R:R)</f>
        <v>0</v>
      </c>
      <c r="L50" s="103">
        <f>SUMIF('ATD &gt;'!E:E,'REGIONAL PTD'!E50,'ATD &gt;'!S:S)</f>
        <v>0</v>
      </c>
      <c r="M50" s="107">
        <f>SUMIF('ATD &gt;'!E:E,'REGIONAL PTD'!E50,'ATD &gt;'!T:T)</f>
        <v>0</v>
      </c>
      <c r="N50" s="25">
        <f>SUMIF('ATD &gt;'!E:E,'REGIONAL PTD'!E50,'ATD &gt;'!U:U)</f>
        <v>0</v>
      </c>
      <c r="O50" s="104">
        <f>SUMIF('ATD &gt;'!E:E,'REGIONAL PTD'!E50,'ATD &gt;'!V:V)</f>
        <v>0</v>
      </c>
    </row>
    <row r="51" spans="3:15">
      <c r="C51" s="102">
        <v>4</v>
      </c>
      <c r="D51" s="18" t="str">
        <f>'ATD &gt;'!D24</f>
        <v>West 2</v>
      </c>
      <c r="E51" s="18" t="str">
        <f>'ATD &gt;'!E24</f>
        <v>Ado-Ekiti</v>
      </c>
      <c r="F51" s="103">
        <f>SUMIF('ATD &gt;'!E:E,'REGIONAL PTD'!E51,'ATD &gt;'!M:M)</f>
        <v>12</v>
      </c>
      <c r="G51" s="102">
        <f>SUMIF('ATD &gt;'!E:E,E51,'ATD &gt;'!N:N)</f>
        <v>3024</v>
      </c>
      <c r="H51" s="18">
        <f>SUMIF('ATD &gt;'!E:E,'REGIONAL PTD'!E51,'ATD &gt;'!O:O)</f>
        <v>1686</v>
      </c>
      <c r="I51" s="104">
        <f>SUMIF('ATD &gt;'!E:E,'REGIONAL PTD'!E51,'ATD &gt;'!P:P)</f>
        <v>0.55753968253968256</v>
      </c>
      <c r="J51" s="106">
        <f>SUMIF('ATD &gt;'!E:E,'REGIONAL PTD'!E51,'ATD &gt;'!Q:Q)</f>
        <v>3372000</v>
      </c>
      <c r="K51" s="25">
        <f>SUMIF('ATD &gt;'!E:E,'REGIONAL PTD'!E51,'ATD &gt;'!R:R)</f>
        <v>3220296</v>
      </c>
      <c r="L51" s="103">
        <f>SUMIF('ATD &gt;'!E:E,'REGIONAL PTD'!E51,'ATD &gt;'!S:S)</f>
        <v>151704</v>
      </c>
      <c r="M51" s="107">
        <f>SUMIF('ATD &gt;'!E:E,'REGIONAL PTD'!E51,'ATD &gt;'!T:T)</f>
        <v>6048000</v>
      </c>
      <c r="N51" s="25">
        <f>SUMIF('ATD &gt;'!E:E,'REGIONAL PTD'!E51,'ATD &gt;'!U:U)</f>
        <v>3220296</v>
      </c>
      <c r="O51" s="104">
        <f>SUMIF('ATD &gt;'!E:E,'REGIONAL PTD'!E51,'ATD &gt;'!V:V)</f>
        <v>0.53245634920634921</v>
      </c>
    </row>
    <row r="52" spans="3:15" ht="15" thickBot="1">
      <c r="C52" s="108">
        <v>5</v>
      </c>
      <c r="D52" s="109" t="str">
        <f>'ATD &gt;'!D25</f>
        <v>West 2</v>
      </c>
      <c r="E52" s="109" t="str">
        <f>'ATD &gt;'!E25</f>
        <v>Warri</v>
      </c>
      <c r="F52" s="103">
        <f>SUMIF('ATD &gt;'!E:E,'REGIONAL PTD'!E52,'ATD &gt;'!M:M)</f>
        <v>13</v>
      </c>
      <c r="G52" s="102">
        <f>SUMIF('ATD &gt;'!E:E,E52,'ATD &gt;'!N:N)</f>
        <v>0</v>
      </c>
      <c r="H52" s="18">
        <f>SUMIF('ATD &gt;'!E:E,'REGIONAL PTD'!E52,'ATD &gt;'!O:O)</f>
        <v>2550</v>
      </c>
      <c r="I52" s="104">
        <f>SUMIF('ATD &gt;'!E:E,'REGIONAL PTD'!E52,'ATD &gt;'!P:P)</f>
        <v>0</v>
      </c>
      <c r="J52" s="106">
        <f>SUMIF('ATD &gt;'!E:E,'REGIONAL PTD'!E52,'ATD &gt;'!Q:Q)</f>
        <v>5100000</v>
      </c>
      <c r="K52" s="25">
        <f>SUMIF('ATD &gt;'!E:E,'REGIONAL PTD'!E52,'ATD &gt;'!R:R)</f>
        <v>4852412</v>
      </c>
      <c r="L52" s="103">
        <f>SUMIF('ATD &gt;'!E:E,'REGIONAL PTD'!E52,'ATD &gt;'!S:S)</f>
        <v>247588</v>
      </c>
      <c r="M52" s="107">
        <f>SUMIF('ATD &gt;'!E:E,'REGIONAL PTD'!E52,'ATD &gt;'!T:T)</f>
        <v>0</v>
      </c>
      <c r="N52" s="25">
        <f>SUMIF('ATD &gt;'!E:E,'REGIONAL PTD'!E52,'ATD &gt;'!U:U)</f>
        <v>4852412</v>
      </c>
      <c r="O52" s="104">
        <f>SUMIF('ATD &gt;'!E:E,'REGIONAL PTD'!E52,'ATD &gt;'!V:V)</f>
        <v>0</v>
      </c>
    </row>
    <row r="53" spans="3:15" ht="15" thickBot="1">
      <c r="C53" s="933" t="s">
        <v>71</v>
      </c>
      <c r="D53" s="934"/>
      <c r="E53" s="934"/>
      <c r="F53" s="934"/>
      <c r="G53" s="114">
        <f t="shared" ref="G53:N53" si="3">SUM(G48:G52)</f>
        <v>3024</v>
      </c>
      <c r="H53" s="115">
        <f t="shared" si="3"/>
        <v>4236</v>
      </c>
      <c r="I53" s="116">
        <f t="shared" si="3"/>
        <v>0.55753968253968256</v>
      </c>
      <c r="J53" s="117">
        <f t="shared" si="3"/>
        <v>8472000</v>
      </c>
      <c r="K53" s="118">
        <f t="shared" si="3"/>
        <v>8072708</v>
      </c>
      <c r="L53" s="119">
        <f t="shared" si="3"/>
        <v>399292</v>
      </c>
      <c r="M53" s="120">
        <f t="shared" si="3"/>
        <v>6048000</v>
      </c>
      <c r="N53" s="118">
        <f t="shared" si="3"/>
        <v>8072708</v>
      </c>
      <c r="O53" s="116">
        <f>N53/M53</f>
        <v>1.3347731481481482</v>
      </c>
    </row>
  </sheetData>
  <mergeCells count="16">
    <mergeCell ref="C53:F53"/>
    <mergeCell ref="C39:F39"/>
    <mergeCell ref="C44:L44"/>
    <mergeCell ref="C45:F45"/>
    <mergeCell ref="G46:I46"/>
    <mergeCell ref="C32:F32"/>
    <mergeCell ref="G33:I33"/>
    <mergeCell ref="C12:F12"/>
    <mergeCell ref="C16:L16"/>
    <mergeCell ref="C17:F17"/>
    <mergeCell ref="G18:I18"/>
    <mergeCell ref="C3:L3"/>
    <mergeCell ref="C4:F4"/>
    <mergeCell ref="G5:I5"/>
    <mergeCell ref="C26:F26"/>
    <mergeCell ref="C31:L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91B5-3DBD-430F-AA55-985C7C147D20}">
  <sheetPr>
    <tabColor theme="7" tint="0.79995117038483843"/>
  </sheetPr>
  <dimension ref="A1:CM133"/>
  <sheetViews>
    <sheetView showGridLines="0" zoomScale="80" zoomScaleNormal="80" workbookViewId="0">
      <selection activeCell="F79" sqref="F79"/>
    </sheetView>
  </sheetViews>
  <sheetFormatPr defaultColWidth="9" defaultRowHeight="14.4"/>
  <cols>
    <col min="2" max="2" width="4" customWidth="1"/>
    <col min="3" max="3" width="14.109375" customWidth="1"/>
    <col min="4" max="4" width="31.5546875" customWidth="1"/>
    <col min="5" max="5" width="38.44140625" customWidth="1"/>
    <col min="6" max="6" width="28.5546875" customWidth="1"/>
    <col min="7" max="8" width="13" customWidth="1"/>
    <col min="9" max="9" width="13" style="42" customWidth="1"/>
    <col min="10" max="10" width="10.44140625" customWidth="1"/>
    <col min="11" max="12" width="8.44140625" customWidth="1"/>
    <col min="13" max="13" width="8.6640625" style="42" customWidth="1"/>
    <col min="14" max="15" width="8.44140625" customWidth="1"/>
    <col min="16" max="16" width="8.6640625" style="42" customWidth="1"/>
    <col min="17" max="18" width="8.44140625" customWidth="1"/>
    <col min="19" max="19" width="8.6640625" style="42" customWidth="1"/>
    <col min="20" max="21" width="8.44140625" customWidth="1"/>
    <col min="22" max="22" width="8.6640625" style="42" customWidth="1"/>
    <col min="23" max="24" width="8.44140625" customWidth="1"/>
    <col min="25" max="25" width="8.6640625" style="42" customWidth="1"/>
    <col min="26" max="26" width="18.33203125" customWidth="1"/>
    <col min="27" max="27" width="19.6640625" customWidth="1"/>
    <col min="28" max="28" width="10.109375" customWidth="1"/>
    <col min="29" max="30" width="16" style="43" customWidth="1"/>
    <col min="31" max="31" width="21.88671875" style="42" customWidth="1"/>
  </cols>
  <sheetData>
    <row r="1" spans="2:40" ht="15" thickBot="1"/>
    <row r="2" spans="2:40" ht="15" thickBot="1">
      <c r="C2" s="130" t="s">
        <v>72</v>
      </c>
      <c r="D2" s="131"/>
    </row>
    <row r="3" spans="2:40" ht="15" thickBot="1">
      <c r="C3" s="132">
        <v>45547</v>
      </c>
      <c r="D3" s="133"/>
    </row>
    <row r="4" spans="2:40" ht="15" thickBot="1">
      <c r="E4" s="29"/>
      <c r="I4" s="134"/>
      <c r="J4" s="40"/>
      <c r="Z4" s="43"/>
      <c r="AA4" s="43"/>
      <c r="AB4" s="43"/>
    </row>
    <row r="5" spans="2:40" ht="15" thickBot="1">
      <c r="B5" s="941" t="s">
        <v>73</v>
      </c>
      <c r="C5" s="942"/>
      <c r="D5" s="942"/>
      <c r="E5" s="942"/>
      <c r="F5" s="942"/>
      <c r="G5" s="942"/>
      <c r="H5" s="942"/>
      <c r="I5" s="942"/>
      <c r="J5" s="942"/>
      <c r="K5" s="942"/>
      <c r="L5" s="942"/>
      <c r="M5" s="942"/>
      <c r="N5" s="942"/>
      <c r="O5" s="942"/>
      <c r="P5" s="942"/>
      <c r="Q5" s="942"/>
      <c r="R5" s="942"/>
      <c r="S5" s="942"/>
      <c r="T5" s="942"/>
      <c r="U5" s="942"/>
      <c r="V5" s="942"/>
      <c r="W5" s="942"/>
      <c r="X5" s="942"/>
      <c r="Y5" s="942"/>
      <c r="Z5" s="942"/>
      <c r="AA5" s="135"/>
      <c r="AB5" s="136"/>
      <c r="AC5" s="137"/>
      <c r="AD5" s="138"/>
      <c r="AE5" s="139"/>
    </row>
    <row r="6" spans="2:40" ht="15" thickBot="1">
      <c r="B6" s="933"/>
      <c r="C6" s="934"/>
      <c r="D6" s="934"/>
      <c r="E6" s="934"/>
      <c r="F6" s="935"/>
      <c r="G6" s="140" t="s">
        <v>0</v>
      </c>
      <c r="H6" s="140"/>
      <c r="I6" s="141"/>
      <c r="J6" s="140"/>
      <c r="K6" s="943" t="s">
        <v>2</v>
      </c>
      <c r="L6" s="944"/>
      <c r="M6" s="944"/>
      <c r="N6" s="944"/>
      <c r="O6" s="944"/>
      <c r="P6" s="944"/>
      <c r="Q6" s="944"/>
      <c r="R6" s="944"/>
      <c r="S6" s="944"/>
      <c r="T6" s="944"/>
      <c r="U6" s="944"/>
      <c r="V6" s="944"/>
      <c r="W6" s="944"/>
      <c r="X6" s="944"/>
      <c r="Y6" s="945"/>
      <c r="Z6" s="946" t="s">
        <v>3</v>
      </c>
      <c r="AA6" s="946"/>
      <c r="AB6" s="947"/>
      <c r="AC6" s="142" t="s">
        <v>4</v>
      </c>
      <c r="AD6" s="82"/>
      <c r="AE6" s="83"/>
      <c r="AJ6" s="940"/>
      <c r="AK6" s="940"/>
      <c r="AL6" s="940"/>
      <c r="AM6" s="940"/>
      <c r="AN6" s="2"/>
    </row>
    <row r="7" spans="2:40" s="12" customFormat="1" ht="53.1" customHeight="1" thickBot="1">
      <c r="B7" s="143" t="s">
        <v>5</v>
      </c>
      <c r="C7" s="144" t="s">
        <v>6</v>
      </c>
      <c r="D7" s="48" t="s">
        <v>74</v>
      </c>
      <c r="E7" s="145" t="s">
        <v>75</v>
      </c>
      <c r="F7" s="146" t="s">
        <v>8</v>
      </c>
      <c r="G7" s="147" t="s">
        <v>11</v>
      </c>
      <c r="H7" s="147" t="s">
        <v>12</v>
      </c>
      <c r="I7" s="148" t="s">
        <v>76</v>
      </c>
      <c r="J7" s="149" t="s">
        <v>77</v>
      </c>
      <c r="K7" s="936" t="s">
        <v>78</v>
      </c>
      <c r="L7" s="937"/>
      <c r="M7" s="938"/>
      <c r="N7" s="937" t="s">
        <v>20</v>
      </c>
      <c r="O7" s="937"/>
      <c r="P7" s="938"/>
      <c r="Q7" s="937" t="s">
        <v>18</v>
      </c>
      <c r="R7" s="937"/>
      <c r="S7" s="938"/>
      <c r="T7" s="937" t="s">
        <v>19</v>
      </c>
      <c r="U7" s="937"/>
      <c r="V7" s="938"/>
      <c r="W7" s="937" t="s">
        <v>17</v>
      </c>
      <c r="X7" s="937"/>
      <c r="Y7" s="937"/>
      <c r="Z7" s="950" t="s">
        <v>3</v>
      </c>
      <c r="AA7" s="951"/>
      <c r="AB7" s="952"/>
      <c r="AC7" s="150" t="s">
        <v>21</v>
      </c>
      <c r="AD7" s="151"/>
      <c r="AE7" s="152"/>
      <c r="AJ7" s="13"/>
      <c r="AK7" s="13"/>
      <c r="AL7" s="13"/>
      <c r="AM7" s="13"/>
      <c r="AN7" s="13"/>
    </row>
    <row r="8" spans="2:40" ht="23.25" customHeight="1" thickBot="1">
      <c r="B8" s="153"/>
      <c r="C8" s="953" t="s">
        <v>30</v>
      </c>
      <c r="D8" s="154"/>
      <c r="E8" s="155"/>
      <c r="F8" s="156"/>
      <c r="G8" s="157"/>
      <c r="H8" s="158"/>
      <c r="I8" s="159"/>
      <c r="J8" s="160"/>
      <c r="K8" s="161" t="s">
        <v>22</v>
      </c>
      <c r="L8" s="162" t="s">
        <v>23</v>
      </c>
      <c r="M8" s="163" t="s">
        <v>13</v>
      </c>
      <c r="N8" s="161" t="s">
        <v>22</v>
      </c>
      <c r="O8" s="162" t="s">
        <v>23</v>
      </c>
      <c r="P8" s="163" t="s">
        <v>13</v>
      </c>
      <c r="Q8" s="164" t="s">
        <v>22</v>
      </c>
      <c r="R8" s="165" t="s">
        <v>23</v>
      </c>
      <c r="S8" s="166" t="s">
        <v>13</v>
      </c>
      <c r="T8" s="161" t="s">
        <v>22</v>
      </c>
      <c r="U8" s="162" t="s">
        <v>23</v>
      </c>
      <c r="V8" s="163" t="s">
        <v>13</v>
      </c>
      <c r="W8" s="164" t="s">
        <v>22</v>
      </c>
      <c r="X8" s="165" t="s">
        <v>23</v>
      </c>
      <c r="Y8" s="166" t="s">
        <v>13</v>
      </c>
      <c r="Z8" s="167" t="s">
        <v>24</v>
      </c>
      <c r="AA8" s="168" t="s">
        <v>25</v>
      </c>
      <c r="AB8" s="169" t="s">
        <v>26</v>
      </c>
      <c r="AC8" s="167" t="s">
        <v>27</v>
      </c>
      <c r="AD8" s="168" t="s">
        <v>28</v>
      </c>
      <c r="AE8" s="163" t="s">
        <v>29</v>
      </c>
      <c r="AJ8" s="30"/>
      <c r="AK8" s="940"/>
      <c r="AL8" s="30"/>
      <c r="AM8" s="17"/>
      <c r="AN8" s="17"/>
    </row>
    <row r="9" spans="2:40" ht="16.5" customHeight="1" thickBot="1">
      <c r="B9" s="153"/>
      <c r="C9" s="954"/>
      <c r="D9" s="170" t="s">
        <v>31</v>
      </c>
      <c r="E9" s="171"/>
      <c r="F9" s="172" t="s">
        <v>32</v>
      </c>
      <c r="G9" s="173"/>
      <c r="H9" s="173"/>
      <c r="I9" s="174"/>
      <c r="J9" s="175"/>
      <c r="K9" s="176"/>
      <c r="L9" s="176"/>
      <c r="M9" s="177"/>
      <c r="N9" s="176"/>
      <c r="O9" s="176"/>
      <c r="P9" s="177"/>
      <c r="Q9" s="176"/>
      <c r="R9" s="176"/>
      <c r="S9" s="177"/>
      <c r="T9" s="176"/>
      <c r="U9" s="176"/>
      <c r="V9" s="177"/>
      <c r="W9" s="176"/>
      <c r="X9" s="176"/>
      <c r="Y9" s="177"/>
      <c r="Z9" s="178"/>
      <c r="AA9" s="178"/>
      <c r="AB9" s="178"/>
      <c r="AC9" s="179"/>
      <c r="AD9" s="180"/>
      <c r="AE9" s="181"/>
      <c r="AJ9" s="30"/>
      <c r="AK9" s="940"/>
      <c r="AL9" s="30"/>
      <c r="AM9" s="17"/>
      <c r="AN9" s="17"/>
    </row>
    <row r="10" spans="2:40" ht="15.75" customHeight="1">
      <c r="B10" s="182">
        <v>1</v>
      </c>
      <c r="C10" s="955"/>
      <c r="D10" s="97" t="s">
        <v>79</v>
      </c>
      <c r="E10" s="183" t="s">
        <v>80</v>
      </c>
      <c r="F10" s="184"/>
      <c r="G10" s="185">
        <v>8</v>
      </c>
      <c r="H10" s="186">
        <v>7</v>
      </c>
      <c r="I10" s="187">
        <f>IFERROR(H10/G10,"")</f>
        <v>0.875</v>
      </c>
      <c r="J10" s="188" t="e">
        <f>SUMIF('[1]Total 2'!$I:$I,_xlfn.TEXTJOIN(" ",TRUE,'NEW ATD PER TEAM'!$D$9,'NEW ATD PER TEAM'!$D10),'[1]Total 2'!L:L)</f>
        <v>#VALUE!</v>
      </c>
      <c r="K10" s="189" t="e">
        <f>J10*68/40</f>
        <v>#VALUE!</v>
      </c>
      <c r="L10" s="190" t="e">
        <f>SUMIF('[1]Total 2'!$I:$I,_xlfn.TEXTJOIN(" ",TRUE,'NEW ATD PER TEAM'!$D$9,'NEW ATD PER TEAM'!$D10),'[1]Total 2'!O:O)</f>
        <v>#VALUE!</v>
      </c>
      <c r="M10" s="191">
        <f>IFERROR(L10/K10,0)</f>
        <v>0</v>
      </c>
      <c r="N10" s="192" t="e">
        <f>J10*68/24</f>
        <v>#VALUE!</v>
      </c>
      <c r="O10" s="193" t="e">
        <f>SUMIF('[1]Total 2'!$I:$I,_xlfn.TEXTJOIN(" ",TRUE,'NEW ATD PER TEAM'!$D$9,'NEW ATD PER TEAM'!$D10),'[1]Total 2'!R:R)</f>
        <v>#VALUE!</v>
      </c>
      <c r="P10" s="191">
        <f>IFERROR(O10/N10,0)</f>
        <v>0</v>
      </c>
      <c r="Q10" s="192" t="e">
        <f>J10*68/24</f>
        <v>#VALUE!</v>
      </c>
      <c r="R10" s="193" t="e">
        <f>SUMIF('[1]Total 2'!$I:$I,_xlfn.TEXTJOIN(" ",TRUE,'NEW ATD PER TEAM'!$D$9,'NEW ATD PER TEAM'!$D10),'[1]Total 2'!U:U)</f>
        <v>#VALUE!</v>
      </c>
      <c r="S10" s="191">
        <f>IFERROR(R10/Q10,0)</f>
        <v>0</v>
      </c>
      <c r="T10" s="192" t="e">
        <f>J10*68/12</f>
        <v>#VALUE!</v>
      </c>
      <c r="U10" s="193" t="e">
        <f>SUMIF('[1]Total 2'!$I:$I,_xlfn.TEXTJOIN(" ",TRUE,'NEW ATD PER TEAM'!$D$9,'NEW ATD PER TEAM'!$D10),'[1]Total 2'!X:X)</f>
        <v>#VALUE!</v>
      </c>
      <c r="V10" s="191">
        <f>IFERROR(U10/T10,0)</f>
        <v>0</v>
      </c>
      <c r="W10" s="192" t="e">
        <f>J10*68/12</f>
        <v>#VALUE!</v>
      </c>
      <c r="X10" s="193" t="e">
        <f>SUMIF('[1]Total 2'!$I:$I,_xlfn.TEXTJOIN(" ",TRUE,'NEW ATD PER TEAM'!$D$9,'NEW ATD PER TEAM'!$D10),'[1]Total 2'!AA:AA)</f>
        <v>#VALUE!</v>
      </c>
      <c r="Y10" s="191">
        <f>IFERROR(X10/W10,0)</f>
        <v>0</v>
      </c>
      <c r="Z10" s="194" t="e">
        <f>SUMIF('[1]Total 2'!$I:$I,_xlfn.TEXTJOIN(" ",TRUE,'NEW ATD PER TEAM'!$D$9,'NEW ATD PER TEAM'!$D10),'[1]Total 2'!AC:AC)</f>
        <v>#VALUE!</v>
      </c>
      <c r="AA10" s="195" t="e">
        <f>SUMIF('[1]Total 2'!$I:$I,_xlfn.TEXTJOIN(" ",TRUE,'NEW ATD PER TEAM'!$D$9,'NEW ATD PER TEAM'!$D10),'[1]Total 2'!AD:AD)</f>
        <v>#VALUE!</v>
      </c>
      <c r="AB10" s="196" t="e">
        <f>SUMIF('[1]Total 2'!$I:$I,_xlfn.TEXTJOIN(" ",TRUE,'NEW ATD PER TEAM'!$D$9,'NEW ATD PER TEAM'!$D10),'[1]Total 2'!AE:AE)</f>
        <v>#VALUE!</v>
      </c>
      <c r="AC10" s="197" t="e">
        <f>J10*1854*40</f>
        <v>#VALUE!</v>
      </c>
      <c r="AD10" s="198" t="e">
        <f>AA10</f>
        <v>#VALUE!</v>
      </c>
      <c r="AE10" s="199" t="str">
        <f>IFERROR(AD10/AC10,"")</f>
        <v/>
      </c>
      <c r="AJ10" s="30"/>
      <c r="AK10" s="940"/>
      <c r="AL10" s="30"/>
      <c r="AM10" s="17"/>
      <c r="AN10" s="17"/>
    </row>
    <row r="11" spans="2:40" ht="15.75" customHeight="1">
      <c r="B11" s="182">
        <v>2</v>
      </c>
      <c r="C11" s="955"/>
      <c r="D11" s="57" t="s">
        <v>81</v>
      </c>
      <c r="E11" s="200" t="s">
        <v>82</v>
      </c>
      <c r="F11" s="201"/>
      <c r="G11" s="202">
        <v>8</v>
      </c>
      <c r="H11" s="203">
        <v>4</v>
      </c>
      <c r="I11" s="204">
        <f t="shared" ref="I11:I14" si="0">IFERROR(H11/G11,"")</f>
        <v>0.5</v>
      </c>
      <c r="J11" s="21" t="e">
        <f>SUMIF('[1]Total 2'!$I:$I,_xlfn.TEXTJOIN(" ",TRUE,'NEW ATD PER TEAM'!$D$9,'NEW ATD PER TEAM'!$D11),'[1]Total 2'!L:L)</f>
        <v>#VALUE!</v>
      </c>
      <c r="K11" s="105" t="e">
        <f>J11*68/40</f>
        <v>#VALUE!</v>
      </c>
      <c r="L11" s="190" t="e">
        <f>SUMIF('[1]Total 2'!$I:$I,_xlfn.TEXTJOIN(" ",TRUE,'NEW ATD PER TEAM'!$D$9,'NEW ATD PER TEAM'!$D11),'[1]Total 2'!O:O)</f>
        <v>#VALUE!</v>
      </c>
      <c r="M11" s="191">
        <f t="shared" ref="M11:M14" si="1">IFERROR(L11/K11,0)</f>
        <v>0</v>
      </c>
      <c r="N11" s="192" t="e">
        <f>J11*68/24</f>
        <v>#VALUE!</v>
      </c>
      <c r="O11" s="103" t="e">
        <f>SUMIF('[1]Total 2'!$I:$I,_xlfn.TEXTJOIN(" ",TRUE,'NEW ATD PER TEAM'!$D$9,'NEW ATD PER TEAM'!$D11),'[1]Total 2'!R:R)</f>
        <v>#VALUE!</v>
      </c>
      <c r="P11" s="205">
        <f t="shared" ref="P11:P14" si="2">IFERROR(O11/N11,0)</f>
        <v>0</v>
      </c>
      <c r="Q11" s="192" t="e">
        <f>J11*68/24</f>
        <v>#VALUE!</v>
      </c>
      <c r="R11" s="103" t="e">
        <f>SUMIF('[1]Total 2'!$I:$I,_xlfn.TEXTJOIN(" ",TRUE,'NEW ATD PER TEAM'!$D$9,'NEW ATD PER TEAM'!$D11),'[1]Total 2'!U:U)</f>
        <v>#VALUE!</v>
      </c>
      <c r="S11" s="205">
        <f t="shared" ref="S11:S14" si="3">IFERROR(R11/Q11,0)</f>
        <v>0</v>
      </c>
      <c r="T11" s="192" t="e">
        <f>J11*68/12</f>
        <v>#VALUE!</v>
      </c>
      <c r="U11" s="103" t="e">
        <f>SUMIF('[1]Total 2'!$I:$I,_xlfn.TEXTJOIN(" ",TRUE,'NEW ATD PER TEAM'!$D$9,'NEW ATD PER TEAM'!$D11),'[1]Total 2'!X:X)</f>
        <v>#VALUE!</v>
      </c>
      <c r="V11" s="205">
        <f t="shared" ref="V11:V14" si="4">IFERROR(U11/T11,0)</f>
        <v>0</v>
      </c>
      <c r="W11" s="192" t="e">
        <f>J11*68/12</f>
        <v>#VALUE!</v>
      </c>
      <c r="X11" s="103" t="e">
        <f>SUMIF('[1]Total 2'!$I:$I,_xlfn.TEXTJOIN(" ",TRUE,'NEW ATD PER TEAM'!$D$9,'NEW ATD PER TEAM'!$D11),'[1]Total 2'!AA:AA)</f>
        <v>#VALUE!</v>
      </c>
      <c r="Y11" s="205">
        <f t="shared" ref="Y11:Y14" si="5">IFERROR(X11/W11,0)</f>
        <v>0</v>
      </c>
      <c r="Z11" s="206" t="e">
        <f>SUMIF('[1]Total 2'!$I:$I,_xlfn.TEXTJOIN(" ",TRUE,'NEW ATD PER TEAM'!$D$9,'NEW ATD PER TEAM'!$D11),'[1]Total 2'!AC:AC)</f>
        <v>#VALUE!</v>
      </c>
      <c r="AA11" s="207" t="e">
        <f>SUMIF('[1]Total 2'!$I:$I,_xlfn.TEXTJOIN(" ",TRUE,'NEW ATD PER TEAM'!$D$9,'NEW ATD PER TEAM'!$D11),'[1]Total 2'!AD:AD)</f>
        <v>#VALUE!</v>
      </c>
      <c r="AB11" s="208" t="e">
        <f>SUMIF('[1]Total 2'!$I:$I,_xlfn.TEXTJOIN(" ",TRUE,'NEW ATD PER TEAM'!$D$9,'NEW ATD PER TEAM'!$D11),'[1]Total 2'!AE:AE)</f>
        <v>#VALUE!</v>
      </c>
      <c r="AC11" s="206" t="e">
        <f>J11*1854*40</f>
        <v>#VALUE!</v>
      </c>
      <c r="AD11" s="25" t="e">
        <f t="shared" ref="AD11:AD13" si="6">AA11</f>
        <v>#VALUE!</v>
      </c>
      <c r="AE11" s="104" t="str">
        <f t="shared" ref="AE11:AE14" si="7">IFERROR(AD11/AC11,"")</f>
        <v/>
      </c>
      <c r="AJ11" s="30"/>
      <c r="AK11" s="940"/>
      <c r="AL11" s="30"/>
      <c r="AM11" s="17"/>
      <c r="AN11" s="17"/>
    </row>
    <row r="12" spans="2:40" ht="15.75" customHeight="1">
      <c r="B12" s="182">
        <v>3</v>
      </c>
      <c r="C12" s="955"/>
      <c r="D12" s="57" t="s">
        <v>83</v>
      </c>
      <c r="E12" s="200" t="s">
        <v>84</v>
      </c>
      <c r="F12" s="201"/>
      <c r="G12" s="202">
        <v>8</v>
      </c>
      <c r="H12" s="203">
        <v>3</v>
      </c>
      <c r="I12" s="204">
        <f t="shared" si="0"/>
        <v>0.375</v>
      </c>
      <c r="J12" s="21" t="e">
        <f>SUMIF('[1]Total 2'!$I:$I,_xlfn.TEXTJOIN(" ",TRUE,'NEW ATD PER TEAM'!$D$9,'NEW ATD PER TEAM'!$D12),'[1]Total 2'!L:L)</f>
        <v>#VALUE!</v>
      </c>
      <c r="K12" s="105" t="e">
        <f>J12*68/40</f>
        <v>#VALUE!</v>
      </c>
      <c r="L12" s="190" t="e">
        <f>SUMIF('[1]Total 2'!$I:$I,_xlfn.TEXTJOIN(" ",TRUE,'NEW ATD PER TEAM'!$D$9,'NEW ATD PER TEAM'!$D12),'[1]Total 2'!O:O)</f>
        <v>#VALUE!</v>
      </c>
      <c r="M12" s="191">
        <f t="shared" si="1"/>
        <v>0</v>
      </c>
      <c r="N12" s="192" t="e">
        <f>J12*68/24</f>
        <v>#VALUE!</v>
      </c>
      <c r="O12" s="103" t="e">
        <f>SUMIF('[1]Total 2'!$I:$I,_xlfn.TEXTJOIN(" ",TRUE,'NEW ATD PER TEAM'!$D$9,'NEW ATD PER TEAM'!$D12),'[1]Total 2'!R:R)</f>
        <v>#VALUE!</v>
      </c>
      <c r="P12" s="205">
        <f t="shared" si="2"/>
        <v>0</v>
      </c>
      <c r="Q12" s="192" t="e">
        <f>J12*68/24</f>
        <v>#VALUE!</v>
      </c>
      <c r="R12" s="103" t="e">
        <f>SUMIF('[1]Total 2'!$I:$I,_xlfn.TEXTJOIN(" ",TRUE,'NEW ATD PER TEAM'!$D$9,'NEW ATD PER TEAM'!$D12),'[1]Total 2'!U:U)</f>
        <v>#VALUE!</v>
      </c>
      <c r="S12" s="205">
        <f t="shared" si="3"/>
        <v>0</v>
      </c>
      <c r="T12" s="192" t="e">
        <f>J12*68/12</f>
        <v>#VALUE!</v>
      </c>
      <c r="U12" s="103" t="e">
        <f>SUMIF('[1]Total 2'!$I:$I,_xlfn.TEXTJOIN(" ",TRUE,'NEW ATD PER TEAM'!$D$9,'NEW ATD PER TEAM'!$D12),'[1]Total 2'!X:X)</f>
        <v>#VALUE!</v>
      </c>
      <c r="V12" s="205">
        <f t="shared" si="4"/>
        <v>0</v>
      </c>
      <c r="W12" s="192" t="e">
        <f>J12*68/12</f>
        <v>#VALUE!</v>
      </c>
      <c r="X12" s="103" t="e">
        <f>SUMIF('[1]Total 2'!$I:$I,_xlfn.TEXTJOIN(" ",TRUE,'NEW ATD PER TEAM'!$D$9,'NEW ATD PER TEAM'!$D12),'[1]Total 2'!AA:AA)</f>
        <v>#VALUE!</v>
      </c>
      <c r="Y12" s="205">
        <f t="shared" si="5"/>
        <v>0</v>
      </c>
      <c r="Z12" s="206" t="e">
        <f>SUMIF('[1]Total 2'!$I:$I,_xlfn.TEXTJOIN(" ",TRUE,'NEW ATD PER TEAM'!$D$9,'NEW ATD PER TEAM'!$D12),'[1]Total 2'!AC:AC)</f>
        <v>#VALUE!</v>
      </c>
      <c r="AA12" s="207" t="e">
        <f>SUMIF('[1]Total 2'!$I:$I,_xlfn.TEXTJOIN(" ",TRUE,'NEW ATD PER TEAM'!$D$9,'NEW ATD PER TEAM'!$D12),'[1]Total 2'!AD:AD)</f>
        <v>#VALUE!</v>
      </c>
      <c r="AB12" s="208" t="e">
        <f>SUMIF('[1]Total 2'!$I:$I,_xlfn.TEXTJOIN(" ",TRUE,'NEW ATD PER TEAM'!$D$9,'NEW ATD PER TEAM'!$D12),'[1]Total 2'!AE:AE)</f>
        <v>#VALUE!</v>
      </c>
      <c r="AC12" s="206" t="e">
        <f>J12*1854*40</f>
        <v>#VALUE!</v>
      </c>
      <c r="AD12" s="25" t="e">
        <f t="shared" si="6"/>
        <v>#VALUE!</v>
      </c>
      <c r="AE12" s="104" t="str">
        <f t="shared" si="7"/>
        <v/>
      </c>
      <c r="AJ12" s="30"/>
      <c r="AK12" s="940"/>
      <c r="AL12" s="30"/>
      <c r="AM12" s="17"/>
      <c r="AN12" s="17"/>
    </row>
    <row r="13" spans="2:40" ht="15.75" customHeight="1" thickBot="1">
      <c r="B13" s="182">
        <v>4</v>
      </c>
      <c r="C13" s="955"/>
      <c r="D13" s="209" t="s">
        <v>85</v>
      </c>
      <c r="E13" s="210"/>
      <c r="F13" s="211"/>
      <c r="G13" s="212">
        <v>8</v>
      </c>
      <c r="H13" s="213"/>
      <c r="I13" s="214">
        <f t="shared" si="0"/>
        <v>0</v>
      </c>
      <c r="J13" s="215" t="e">
        <f>SUMIF('[1]Total 2'!$I:$I,_xlfn.TEXTJOIN(" ",TRUE,'NEW ATD PER TEAM'!$D$9,'NEW ATD PER TEAM'!$D13),'[1]Total 2'!L:L)</f>
        <v>#VALUE!</v>
      </c>
      <c r="K13" s="112" t="e">
        <f>J13*68/40</f>
        <v>#VALUE!</v>
      </c>
      <c r="L13" t="e">
        <f>SUMIF('[1]Total 2'!$I:$I,_xlfn.TEXTJOIN(" ",TRUE,'NEW ATD PER TEAM'!$D$9,'NEW ATD PER TEAM'!$D13),'[1]Total 2'!O:O)</f>
        <v>#VALUE!</v>
      </c>
      <c r="M13" s="191">
        <f t="shared" si="1"/>
        <v>0</v>
      </c>
      <c r="N13" s="192" t="e">
        <f>J13*68/24</f>
        <v>#VALUE!</v>
      </c>
      <c r="O13" s="110" t="e">
        <f>SUMIF('[1]Total 2'!$I:$I,_xlfn.TEXTJOIN(" ",TRUE,'NEW ATD PER TEAM'!$D$9,'NEW ATD PER TEAM'!$D13),'[1]Total 2'!R:R)</f>
        <v>#VALUE!</v>
      </c>
      <c r="P13" s="216">
        <f t="shared" si="2"/>
        <v>0</v>
      </c>
      <c r="Q13" s="192" t="e">
        <f>J13*68/24</f>
        <v>#VALUE!</v>
      </c>
      <c r="R13" s="110" t="e">
        <f>SUMIF('[1]Total 2'!$I:$I,_xlfn.TEXTJOIN(" ",TRUE,'NEW ATD PER TEAM'!$D$9,'NEW ATD PER TEAM'!$D13),'[1]Total 2'!U:U)</f>
        <v>#VALUE!</v>
      </c>
      <c r="S13" s="216">
        <f t="shared" si="3"/>
        <v>0</v>
      </c>
      <c r="T13" s="192" t="e">
        <f>J13*68/12</f>
        <v>#VALUE!</v>
      </c>
      <c r="U13" s="110" t="e">
        <f>SUMIF('[1]Total 2'!$I:$I,_xlfn.TEXTJOIN(" ",TRUE,'NEW ATD PER TEAM'!$D$9,'NEW ATD PER TEAM'!$D13),'[1]Total 2'!X:X)</f>
        <v>#VALUE!</v>
      </c>
      <c r="V13" s="216">
        <f t="shared" si="4"/>
        <v>0</v>
      </c>
      <c r="W13" s="192" t="e">
        <f>J13*68/12</f>
        <v>#VALUE!</v>
      </c>
      <c r="X13" s="110" t="e">
        <f>SUMIF('[1]Total 2'!$I:$I,_xlfn.TEXTJOIN(" ",TRUE,'NEW ATD PER TEAM'!$D$9,'NEW ATD PER TEAM'!$D13),'[1]Total 2'!AA:AA)</f>
        <v>#VALUE!</v>
      </c>
      <c r="Y13" s="216">
        <f t="shared" si="5"/>
        <v>0</v>
      </c>
      <c r="Z13" s="217" t="e">
        <f>SUMIF('[1]Total 2'!$I:$I,_xlfn.TEXTJOIN(" ",TRUE,'NEW ATD PER TEAM'!$D$9,'NEW ATD PER TEAM'!$D13),'[1]Total 2'!AC:AC)</f>
        <v>#VALUE!</v>
      </c>
      <c r="AA13" s="218" t="e">
        <f>SUMIF('[1]Total 2'!$I:$I,_xlfn.TEXTJOIN(" ",TRUE,'NEW ATD PER TEAM'!$D$9,'NEW ATD PER TEAM'!$D13),'[1]Total 2'!AD:AD)</f>
        <v>#VALUE!</v>
      </c>
      <c r="AB13" s="219" t="e">
        <f>SUMIF('[1]Total 2'!$I:$I,_xlfn.TEXTJOIN(" ",TRUE,'NEW ATD PER TEAM'!$D$9,'NEW ATD PER TEAM'!$D13),'[1]Total 2'!AE:AE)</f>
        <v>#VALUE!</v>
      </c>
      <c r="AC13" s="217" t="e">
        <f>J13*1854*40</f>
        <v>#VALUE!</v>
      </c>
      <c r="AD13" s="220" t="e">
        <f t="shared" si="6"/>
        <v>#VALUE!</v>
      </c>
      <c r="AE13" s="111" t="str">
        <f t="shared" si="7"/>
        <v/>
      </c>
      <c r="AJ13" s="30"/>
      <c r="AK13" s="940"/>
      <c r="AL13" s="30"/>
      <c r="AM13" s="17"/>
      <c r="AN13" s="17"/>
    </row>
    <row r="14" spans="2:40" ht="16.2" thickBot="1">
      <c r="B14" s="182"/>
      <c r="C14" s="955"/>
      <c r="D14" s="221"/>
      <c r="E14" s="222" t="s">
        <v>70</v>
      </c>
      <c r="F14" s="223"/>
      <c r="G14" s="224">
        <f>SUM(G10:G13)</f>
        <v>32</v>
      </c>
      <c r="H14" s="224">
        <f>SUM(H10:H13)</f>
        <v>14</v>
      </c>
      <c r="I14" s="225">
        <f t="shared" si="0"/>
        <v>0.4375</v>
      </c>
      <c r="J14" s="226" t="e">
        <f>SUM(J10:J13)</f>
        <v>#VALUE!</v>
      </c>
      <c r="K14" s="227" t="e">
        <f t="shared" ref="K14:X14" si="8">SUM(K10:K13)</f>
        <v>#VALUE!</v>
      </c>
      <c r="L14" s="228" t="e">
        <f t="shared" si="8"/>
        <v>#VALUE!</v>
      </c>
      <c r="M14" s="229">
        <f t="shared" si="1"/>
        <v>0</v>
      </c>
      <c r="N14" s="230" t="e">
        <f t="shared" si="8"/>
        <v>#VALUE!</v>
      </c>
      <c r="O14" s="231" t="e">
        <f t="shared" si="8"/>
        <v>#VALUE!</v>
      </c>
      <c r="P14" s="229">
        <f t="shared" si="2"/>
        <v>0</v>
      </c>
      <c r="Q14" s="230" t="e">
        <f t="shared" si="8"/>
        <v>#VALUE!</v>
      </c>
      <c r="R14" s="231" t="e">
        <f t="shared" si="8"/>
        <v>#VALUE!</v>
      </c>
      <c r="S14" s="229">
        <f t="shared" si="3"/>
        <v>0</v>
      </c>
      <c r="T14" s="230" t="e">
        <f t="shared" si="8"/>
        <v>#VALUE!</v>
      </c>
      <c r="U14" s="231" t="e">
        <f t="shared" si="8"/>
        <v>#VALUE!</v>
      </c>
      <c r="V14" s="229">
        <f t="shared" si="4"/>
        <v>0</v>
      </c>
      <c r="W14" s="230" t="e">
        <f t="shared" si="8"/>
        <v>#VALUE!</v>
      </c>
      <c r="X14" s="231" t="e">
        <f t="shared" si="8"/>
        <v>#VALUE!</v>
      </c>
      <c r="Y14" s="229">
        <f t="shared" si="5"/>
        <v>0</v>
      </c>
      <c r="Z14" s="232" t="e">
        <f>SUM(Z10:Z13)</f>
        <v>#VALUE!</v>
      </c>
      <c r="AA14" s="232" t="e">
        <f>SUM(AA10:AA13)</f>
        <v>#VALUE!</v>
      </c>
      <c r="AB14" s="233" t="e">
        <f>SUM(AB10:AB13)</f>
        <v>#VALUE!</v>
      </c>
      <c r="AC14" s="234" t="e">
        <f>SUM(AC10:AC13)</f>
        <v>#VALUE!</v>
      </c>
      <c r="AD14" s="235" t="e">
        <f>SUM(AD10:AD13)</f>
        <v>#VALUE!</v>
      </c>
      <c r="AE14" s="236" t="str">
        <f t="shared" si="7"/>
        <v/>
      </c>
      <c r="AJ14" s="30"/>
      <c r="AK14" s="940"/>
      <c r="AL14" s="30"/>
      <c r="AM14" s="17"/>
      <c r="AN14" s="17"/>
    </row>
    <row r="15" spans="2:40" s="249" customFormat="1" ht="15.75" customHeight="1" thickBot="1">
      <c r="B15" s="237"/>
      <c r="C15" s="954"/>
      <c r="D15" s="170" t="s">
        <v>34</v>
      </c>
      <c r="E15" s="238"/>
      <c r="F15" s="172" t="s">
        <v>35</v>
      </c>
      <c r="G15" s="239"/>
      <c r="H15" s="239"/>
      <c r="I15" s="240"/>
      <c r="J15" s="239"/>
      <c r="K15" s="239"/>
      <c r="L15" s="239"/>
      <c r="M15" s="240"/>
      <c r="N15" s="241"/>
      <c r="O15" s="241"/>
      <c r="P15" s="242"/>
      <c r="Q15" s="241"/>
      <c r="R15" s="241"/>
      <c r="S15" s="242"/>
      <c r="T15" s="243"/>
      <c r="U15" s="243"/>
      <c r="V15" s="244"/>
      <c r="W15" s="243"/>
      <c r="X15" s="243"/>
      <c r="Y15" s="244"/>
      <c r="Z15" s="245"/>
      <c r="AA15" s="246"/>
      <c r="AB15" s="246"/>
      <c r="AC15" s="247"/>
      <c r="AD15" s="247"/>
      <c r="AE15" s="248"/>
      <c r="AJ15" s="250"/>
      <c r="AK15" s="940"/>
      <c r="AL15" s="250"/>
      <c r="AM15" s="251"/>
      <c r="AN15" s="251"/>
    </row>
    <row r="16" spans="2:40" ht="15.75" customHeight="1">
      <c r="B16" s="182">
        <v>1</v>
      </c>
      <c r="C16" s="955"/>
      <c r="D16" s="97" t="s">
        <v>79</v>
      </c>
      <c r="E16" s="200" t="s">
        <v>86</v>
      </c>
      <c r="F16" s="252"/>
      <c r="G16" s="185">
        <v>8</v>
      </c>
      <c r="H16" s="186">
        <v>5</v>
      </c>
      <c r="I16" s="187">
        <f>IFERROR(H16/G16,"")</f>
        <v>0.625</v>
      </c>
      <c r="J16" s="188" t="e">
        <f>SUMIF('[1]Total 2'!$I:$I,_xlfn.TEXTJOIN(" ",TRUE,'NEW ATD PER TEAM'!$D$15,'NEW ATD PER TEAM'!$D16),'[1]Total 2'!L:L)</f>
        <v>#VALUE!</v>
      </c>
      <c r="K16" s="189" t="e">
        <f>J16*68/40</f>
        <v>#VALUE!</v>
      </c>
      <c r="L16" s="190" t="e">
        <f>SUMIF('[1]Total 2'!$I:$I,_xlfn.TEXTJOIN(" ",TRUE,'NEW ATD PER TEAM'!$D$15,'NEW ATD PER TEAM'!$D16),'[1]Total 2'!O:O)</f>
        <v>#VALUE!</v>
      </c>
      <c r="M16" s="191">
        <f>IFERROR(L16/K16,0)</f>
        <v>0</v>
      </c>
      <c r="N16" s="192" t="e">
        <f>J16*68/24</f>
        <v>#VALUE!</v>
      </c>
      <c r="O16" s="193" t="e">
        <f>SUMIF('[1]Total 2'!$I:$I,_xlfn.TEXTJOIN(" ",TRUE,'NEW ATD PER TEAM'!$D$15,'NEW ATD PER TEAM'!$D16),'[1]Total 2'!R:R)</f>
        <v>#VALUE!</v>
      </c>
      <c r="P16" s="191">
        <f>IFERROR(O16/N16,0)</f>
        <v>0</v>
      </c>
      <c r="Q16" s="192" t="e">
        <f>J16*68/24</f>
        <v>#VALUE!</v>
      </c>
      <c r="R16" s="193" t="e">
        <f>SUMIF('[1]Total 2'!$I:$I,_xlfn.TEXTJOIN(" ",TRUE,'NEW ATD PER TEAM'!$D$15,'NEW ATD PER TEAM'!$D16),'[1]Total 2'!U:U)</f>
        <v>#VALUE!</v>
      </c>
      <c r="S16" s="191">
        <f>IFERROR(R16/Q16,0)</f>
        <v>0</v>
      </c>
      <c r="T16" s="192" t="e">
        <f>J16*68/12</f>
        <v>#VALUE!</v>
      </c>
      <c r="U16" s="193" t="e">
        <f>SUMIF('[1]Total 2'!$I:$I,_xlfn.TEXTJOIN(" ",TRUE,'NEW ATD PER TEAM'!$D$15,'NEW ATD PER TEAM'!$D16),'[1]Total 2'!X:X)</f>
        <v>#VALUE!</v>
      </c>
      <c r="V16" s="191">
        <f>IFERROR(U16/T16,0)</f>
        <v>0</v>
      </c>
      <c r="W16" s="192" t="e">
        <f>J16*68/12</f>
        <v>#VALUE!</v>
      </c>
      <c r="X16" s="193" t="e">
        <f>SUMIF('[1]Total 2'!$I:$I,_xlfn.TEXTJOIN(" ",TRUE,'NEW ATD PER TEAM'!$D$15,'NEW ATD PER TEAM'!$D16),'[1]Total 2'!AA:AA)</f>
        <v>#VALUE!</v>
      </c>
      <c r="Y16" s="191">
        <f>IFERROR(X16/W16,0)</f>
        <v>0</v>
      </c>
      <c r="Z16" s="197" t="e">
        <f>SUMIF('[1]Total 2'!$I:$I,_xlfn.TEXTJOIN(" ",TRUE,'NEW ATD PER TEAM'!$D$15,'NEW ATD PER TEAM'!$D16),'[1]Total 2'!AC:AC)</f>
        <v>#VALUE!</v>
      </c>
      <c r="AA16" s="253" t="e">
        <f>SUMIF('[1]Total 2'!$I:$I,_xlfn.TEXTJOIN(" ",TRUE,'NEW ATD PER TEAM'!$D$15,'NEW ATD PER TEAM'!$D16),'[1]Total 2'!AD:AD)</f>
        <v>#VALUE!</v>
      </c>
      <c r="AB16" s="196"/>
      <c r="AC16" s="197" t="e">
        <f>J16*1854*40</f>
        <v>#VALUE!</v>
      </c>
      <c r="AD16" s="198" t="e">
        <f>AA16</f>
        <v>#VALUE!</v>
      </c>
      <c r="AE16" s="199" t="str">
        <f>IFERROR(AD16/AC16,"")</f>
        <v/>
      </c>
      <c r="AJ16" s="30"/>
      <c r="AK16" s="940"/>
      <c r="AL16" s="30"/>
      <c r="AM16" s="17"/>
      <c r="AN16" s="17"/>
    </row>
    <row r="17" spans="2:41" ht="15.75" customHeight="1">
      <c r="B17" s="182">
        <v>2</v>
      </c>
      <c r="C17" s="955"/>
      <c r="D17" s="57" t="s">
        <v>81</v>
      </c>
      <c r="E17" s="200" t="s">
        <v>87</v>
      </c>
      <c r="F17" s="201"/>
      <c r="G17" s="202">
        <v>8</v>
      </c>
      <c r="H17" s="203">
        <v>5</v>
      </c>
      <c r="I17" s="204">
        <f t="shared" ref="I17:I20" si="9">IFERROR(H17/G17,"")</f>
        <v>0.625</v>
      </c>
      <c r="J17" s="21" t="e">
        <f>SUMIF('[1]Total 2'!$I:$I,_xlfn.TEXTJOIN(" ",TRUE,'NEW ATD PER TEAM'!$D$15,'NEW ATD PER TEAM'!$D17),'[1]Total 2'!L:L)</f>
        <v>#VALUE!</v>
      </c>
      <c r="K17" s="105" t="e">
        <f>J17*68/40</f>
        <v>#VALUE!</v>
      </c>
      <c r="L17" s="190" t="e">
        <f>SUMIF('[1]Total 2'!$I:$I,_xlfn.TEXTJOIN(" ",TRUE,'NEW ATD PER TEAM'!$D$15,'NEW ATD PER TEAM'!$D17),'[1]Total 2'!O:O)</f>
        <v>#VALUE!</v>
      </c>
      <c r="M17" s="205">
        <f t="shared" ref="M17:M20" si="10">IFERROR(L17/K17,0)</f>
        <v>0</v>
      </c>
      <c r="N17" s="192" t="e">
        <f>J17*68/24</f>
        <v>#VALUE!</v>
      </c>
      <c r="O17" s="103" t="e">
        <f>SUMIF('[1]Total 2'!$I:$I,_xlfn.TEXTJOIN(" ",TRUE,'NEW ATD PER TEAM'!$D$15,'NEW ATD PER TEAM'!$D17),'[1]Total 2'!R:R)</f>
        <v>#VALUE!</v>
      </c>
      <c r="P17" s="205">
        <f t="shared" ref="P17:P20" si="11">IFERROR(O17/N17,0)</f>
        <v>0</v>
      </c>
      <c r="Q17" s="192" t="e">
        <f>J17*68/24</f>
        <v>#VALUE!</v>
      </c>
      <c r="R17" s="103" t="e">
        <f>SUMIF('[1]Total 2'!$I:$I,_xlfn.TEXTJOIN(" ",TRUE,'NEW ATD PER TEAM'!$D$15,'NEW ATD PER TEAM'!$D17),'[1]Total 2'!U:U)</f>
        <v>#VALUE!</v>
      </c>
      <c r="S17" s="205">
        <f t="shared" ref="S17:S20" si="12">IFERROR(R17/Q17,0)</f>
        <v>0</v>
      </c>
      <c r="T17" s="192" t="e">
        <f>J17*68/12</f>
        <v>#VALUE!</v>
      </c>
      <c r="U17" s="103" t="e">
        <f>SUMIF('[1]Total 2'!$I:$I,_xlfn.TEXTJOIN(" ",TRUE,'NEW ATD PER TEAM'!$D$15,'NEW ATD PER TEAM'!$D17),'[1]Total 2'!X:X)</f>
        <v>#VALUE!</v>
      </c>
      <c r="V17" s="205">
        <f t="shared" ref="V17:V20" si="13">IFERROR(U17/T17,0)</f>
        <v>0</v>
      </c>
      <c r="W17" s="192" t="e">
        <f>J17*68/12</f>
        <v>#VALUE!</v>
      </c>
      <c r="X17" s="103" t="e">
        <f>SUMIF('[1]Total 2'!$I:$I,_xlfn.TEXTJOIN(" ",TRUE,'NEW ATD PER TEAM'!$D$15,'NEW ATD PER TEAM'!$D17),'[1]Total 2'!AA:AA)</f>
        <v>#VALUE!</v>
      </c>
      <c r="Y17" s="205">
        <f t="shared" ref="Y17:Y20" si="14">IFERROR(X17/W17,0)</f>
        <v>0</v>
      </c>
      <c r="Z17" s="206" t="e">
        <f>SUMIF('[1]Total 2'!$I:$I,_xlfn.TEXTJOIN(" ",TRUE,'NEW ATD PER TEAM'!$D$15,'NEW ATD PER TEAM'!$D17),'[1]Total 2'!AC:AC)</f>
        <v>#VALUE!</v>
      </c>
      <c r="AA17" s="207" t="e">
        <f>SUMIF('[1]Total 2'!$I:$I,_xlfn.TEXTJOIN(" ",TRUE,'NEW ATD PER TEAM'!$D$15,'NEW ATD PER TEAM'!$D17),'[1]Total 2'!AD:AD)</f>
        <v>#VALUE!</v>
      </c>
      <c r="AB17" s="208"/>
      <c r="AC17" s="206" t="e">
        <f>J17*1854*40</f>
        <v>#VALUE!</v>
      </c>
      <c r="AD17" s="25" t="e">
        <f t="shared" ref="AD17:AD19" si="15">AA17</f>
        <v>#VALUE!</v>
      </c>
      <c r="AE17" s="104" t="str">
        <f t="shared" ref="AE17:AE20" si="16">IFERROR(AD17/AC17,"")</f>
        <v/>
      </c>
      <c r="AJ17" s="30"/>
      <c r="AK17" s="940"/>
      <c r="AL17" s="30"/>
      <c r="AM17" s="17"/>
      <c r="AN17" s="17"/>
    </row>
    <row r="18" spans="2:41" ht="15.75" customHeight="1">
      <c r="B18" s="182">
        <v>3</v>
      </c>
      <c r="C18" s="955"/>
      <c r="D18" s="57" t="s">
        <v>83</v>
      </c>
      <c r="E18" s="254"/>
      <c r="F18" s="201"/>
      <c r="G18" s="202">
        <v>8</v>
      </c>
      <c r="H18" s="203"/>
      <c r="I18" s="204">
        <f t="shared" si="9"/>
        <v>0</v>
      </c>
      <c r="J18" s="21" t="e">
        <f>SUMIF('[1]Total 2'!$I:$I,_xlfn.TEXTJOIN(" ",TRUE,'NEW ATD PER TEAM'!$D$15,'NEW ATD PER TEAM'!$D18),'[1]Total 2'!L:L)</f>
        <v>#VALUE!</v>
      </c>
      <c r="K18" s="105" t="e">
        <f>J18*68/40</f>
        <v>#VALUE!</v>
      </c>
      <c r="L18" s="190" t="e">
        <f>SUMIF('[1]Total 2'!$I:$I,_xlfn.TEXTJOIN(" ",TRUE,'NEW ATD PER TEAM'!$D$15,'NEW ATD PER TEAM'!$D18),'[1]Total 2'!O:O)</f>
        <v>#VALUE!</v>
      </c>
      <c r="M18" s="205">
        <f t="shared" si="10"/>
        <v>0</v>
      </c>
      <c r="N18" s="192" t="e">
        <f>J18*68/24</f>
        <v>#VALUE!</v>
      </c>
      <c r="O18" s="103" t="e">
        <f>SUMIF('[1]Total 2'!$I:$I,_xlfn.TEXTJOIN(" ",TRUE,'NEW ATD PER TEAM'!$D$15,'NEW ATD PER TEAM'!$D18),'[1]Total 2'!R:R)</f>
        <v>#VALUE!</v>
      </c>
      <c r="P18" s="205">
        <f t="shared" si="11"/>
        <v>0</v>
      </c>
      <c r="Q18" s="192" t="e">
        <f>J18*68/24</f>
        <v>#VALUE!</v>
      </c>
      <c r="R18" s="103" t="e">
        <f>SUMIF('[1]Total 2'!$I:$I,_xlfn.TEXTJOIN(" ",TRUE,'NEW ATD PER TEAM'!$D$15,'NEW ATD PER TEAM'!$D18),'[1]Total 2'!U:U)</f>
        <v>#VALUE!</v>
      </c>
      <c r="S18" s="205">
        <f t="shared" si="12"/>
        <v>0</v>
      </c>
      <c r="T18" s="192" t="e">
        <f>J18*68/12</f>
        <v>#VALUE!</v>
      </c>
      <c r="U18" s="103" t="e">
        <f>SUMIF('[1]Total 2'!$I:$I,_xlfn.TEXTJOIN(" ",TRUE,'NEW ATD PER TEAM'!$D$15,'NEW ATD PER TEAM'!$D18),'[1]Total 2'!X:X)</f>
        <v>#VALUE!</v>
      </c>
      <c r="V18" s="205">
        <f t="shared" si="13"/>
        <v>0</v>
      </c>
      <c r="W18" s="192" t="e">
        <f>J18*68/12</f>
        <v>#VALUE!</v>
      </c>
      <c r="X18" s="103" t="e">
        <f>SUMIF('[1]Total 2'!$I:$I,_xlfn.TEXTJOIN(" ",TRUE,'NEW ATD PER TEAM'!$D$15,'NEW ATD PER TEAM'!$D18),'[1]Total 2'!AA:AA)</f>
        <v>#VALUE!</v>
      </c>
      <c r="Y18" s="205">
        <f t="shared" si="14"/>
        <v>0</v>
      </c>
      <c r="Z18" s="206" t="e">
        <f>SUMIF('[1]Total 2'!$I:$I,_xlfn.TEXTJOIN(" ",TRUE,'NEW ATD PER TEAM'!$D$15,'NEW ATD PER TEAM'!$D18),'[1]Total 2'!AC:AC)</f>
        <v>#VALUE!</v>
      </c>
      <c r="AA18" s="207" t="e">
        <f>SUMIF('[1]Total 2'!$I:$I,_xlfn.TEXTJOIN(" ",TRUE,'NEW ATD PER TEAM'!$D$15,'NEW ATD PER TEAM'!$D18),'[1]Total 2'!AD:AD)</f>
        <v>#VALUE!</v>
      </c>
      <c r="AB18" s="208"/>
      <c r="AC18" s="206" t="e">
        <f>J18*1854*40</f>
        <v>#VALUE!</v>
      </c>
      <c r="AD18" s="25" t="e">
        <f t="shared" si="15"/>
        <v>#VALUE!</v>
      </c>
      <c r="AE18" s="104" t="str">
        <f t="shared" si="16"/>
        <v/>
      </c>
      <c r="AJ18" s="30"/>
      <c r="AK18" s="940"/>
      <c r="AL18" s="30"/>
      <c r="AM18" s="17"/>
      <c r="AN18" s="17"/>
    </row>
    <row r="19" spans="2:41" ht="15.75" customHeight="1" thickBot="1">
      <c r="B19" s="182">
        <v>4</v>
      </c>
      <c r="C19" s="955"/>
      <c r="D19" s="209" t="s">
        <v>85</v>
      </c>
      <c r="E19" s="210"/>
      <c r="F19" s="211"/>
      <c r="G19" s="212">
        <v>8</v>
      </c>
      <c r="H19" s="213"/>
      <c r="I19" s="214">
        <f t="shared" si="9"/>
        <v>0</v>
      </c>
      <c r="J19" s="215" t="e">
        <f>SUMIF('[1]Total 2'!$I:$I,_xlfn.TEXTJOIN(" ",TRUE,'NEW ATD PER TEAM'!$D$15,'NEW ATD PER TEAM'!$D19),'[1]Total 2'!L:L)</f>
        <v>#VALUE!</v>
      </c>
      <c r="K19" s="112" t="e">
        <f>J19*68/40</f>
        <v>#VALUE!</v>
      </c>
      <c r="L19" s="190" t="e">
        <f>SUMIF('[1]Total 2'!$I:$I,_xlfn.TEXTJOIN(" ",TRUE,'NEW ATD PER TEAM'!$D$15,'NEW ATD PER TEAM'!$D19),'[1]Total 2'!O:O)</f>
        <v>#VALUE!</v>
      </c>
      <c r="M19" s="216">
        <f t="shared" si="10"/>
        <v>0</v>
      </c>
      <c r="N19" s="192" t="e">
        <f>J19*68/24</f>
        <v>#VALUE!</v>
      </c>
      <c r="O19" s="110" t="e">
        <f>SUMIF('[1]Total 2'!$I:$I,_xlfn.TEXTJOIN(" ",TRUE,'NEW ATD PER TEAM'!$D$15,'NEW ATD PER TEAM'!$D19),'[1]Total 2'!R:R)</f>
        <v>#VALUE!</v>
      </c>
      <c r="P19" s="216">
        <f t="shared" si="11"/>
        <v>0</v>
      </c>
      <c r="Q19" s="192" t="e">
        <f>J19*68/24</f>
        <v>#VALUE!</v>
      </c>
      <c r="R19" s="110" t="e">
        <f>SUMIF('[1]Total 2'!$I:$I,_xlfn.TEXTJOIN(" ",TRUE,'NEW ATD PER TEAM'!$D$15,'NEW ATD PER TEAM'!$D19),'[1]Total 2'!U:U)</f>
        <v>#VALUE!</v>
      </c>
      <c r="S19" s="216">
        <f t="shared" si="12"/>
        <v>0</v>
      </c>
      <c r="T19" s="192" t="e">
        <f>J19*68/12</f>
        <v>#VALUE!</v>
      </c>
      <c r="U19" s="110" t="e">
        <f>SUMIF('[1]Total 2'!$I:$I,_xlfn.TEXTJOIN(" ",TRUE,'NEW ATD PER TEAM'!$D$15,'NEW ATD PER TEAM'!$D19),'[1]Total 2'!X:X)</f>
        <v>#VALUE!</v>
      </c>
      <c r="V19" s="216">
        <f t="shared" si="13"/>
        <v>0</v>
      </c>
      <c r="W19" s="192" t="e">
        <f>J19*68/12</f>
        <v>#VALUE!</v>
      </c>
      <c r="X19" s="110" t="e">
        <f>SUMIF('[1]Total 2'!$I:$I,_xlfn.TEXTJOIN(" ",TRUE,'NEW ATD PER TEAM'!$D$15,'NEW ATD PER TEAM'!$D19),'[1]Total 2'!AA:AA)</f>
        <v>#VALUE!</v>
      </c>
      <c r="Y19" s="216">
        <f t="shared" si="14"/>
        <v>0</v>
      </c>
      <c r="Z19" s="217" t="e">
        <f>SUMIF('[1]Total 2'!$I:$I,_xlfn.TEXTJOIN(" ",TRUE,'NEW ATD PER TEAM'!$D$15,'NEW ATD PER TEAM'!$D19),'[1]Total 2'!AC:AC)</f>
        <v>#VALUE!</v>
      </c>
      <c r="AA19" s="218" t="e">
        <f>SUMIF('[1]Total 2'!$I:$I,_xlfn.TEXTJOIN(" ",TRUE,'NEW ATD PER TEAM'!$D$15,'NEW ATD PER TEAM'!$D19),'[1]Total 2'!AD:AD)</f>
        <v>#VALUE!</v>
      </c>
      <c r="AB19" s="219"/>
      <c r="AC19" s="217" t="e">
        <f>J19*1854*40</f>
        <v>#VALUE!</v>
      </c>
      <c r="AD19" s="113" t="e">
        <f t="shared" si="15"/>
        <v>#VALUE!</v>
      </c>
      <c r="AE19" s="111" t="str">
        <f t="shared" si="16"/>
        <v/>
      </c>
      <c r="AJ19" s="30"/>
      <c r="AK19" s="940"/>
      <c r="AL19" s="30"/>
      <c r="AM19" s="17"/>
      <c r="AN19" s="17"/>
    </row>
    <row r="20" spans="2:41" ht="16.2" thickBot="1">
      <c r="B20" s="182"/>
      <c r="C20" s="955"/>
      <c r="D20" s="221"/>
      <c r="E20" s="222" t="s">
        <v>70</v>
      </c>
      <c r="F20" s="223"/>
      <c r="G20" s="224">
        <f>SUM(G16:G19)</f>
        <v>32</v>
      </c>
      <c r="H20" s="224">
        <f>SUM(H16:H19)</f>
        <v>10</v>
      </c>
      <c r="I20" s="225">
        <f t="shared" si="9"/>
        <v>0.3125</v>
      </c>
      <c r="J20" s="226" t="e">
        <f>SUM(J16:J19)</f>
        <v>#VALUE!</v>
      </c>
      <c r="K20" s="227" t="e">
        <f t="shared" ref="K20:AD20" si="17">SUM(K16:K19)</f>
        <v>#VALUE!</v>
      </c>
      <c r="L20" s="255" t="e">
        <f t="shared" si="17"/>
        <v>#VALUE!</v>
      </c>
      <c r="M20" s="229">
        <f t="shared" si="10"/>
        <v>0</v>
      </c>
      <c r="N20" s="230" t="e">
        <f t="shared" ref="N20:O20" si="18">SUM(N16:N19)</f>
        <v>#VALUE!</v>
      </c>
      <c r="O20" s="231" t="e">
        <f t="shared" si="18"/>
        <v>#VALUE!</v>
      </c>
      <c r="P20" s="229">
        <f t="shared" si="11"/>
        <v>0</v>
      </c>
      <c r="Q20" s="230" t="e">
        <f t="shared" ref="Q20:R20" si="19">SUM(Q16:Q19)</f>
        <v>#VALUE!</v>
      </c>
      <c r="R20" s="231" t="e">
        <f t="shared" si="19"/>
        <v>#VALUE!</v>
      </c>
      <c r="S20" s="229">
        <f t="shared" si="12"/>
        <v>0</v>
      </c>
      <c r="T20" s="230" t="e">
        <f t="shared" ref="T20:U20" si="20">SUM(T16:T19)</f>
        <v>#VALUE!</v>
      </c>
      <c r="U20" s="231" t="e">
        <f t="shared" si="20"/>
        <v>#VALUE!</v>
      </c>
      <c r="V20" s="229">
        <f t="shared" si="13"/>
        <v>0</v>
      </c>
      <c r="W20" s="230" t="e">
        <f t="shared" ref="W20:X20" si="21">SUM(W16:W19)</f>
        <v>#VALUE!</v>
      </c>
      <c r="X20" s="231" t="e">
        <f t="shared" si="21"/>
        <v>#VALUE!</v>
      </c>
      <c r="Y20" s="229">
        <f t="shared" si="14"/>
        <v>0</v>
      </c>
      <c r="Z20" s="232" t="e">
        <f>SUM(Z16:Z19)</f>
        <v>#VALUE!</v>
      </c>
      <c r="AA20" s="232" t="e">
        <f>SUM(AA16:AA19)</f>
        <v>#VALUE!</v>
      </c>
      <c r="AB20" s="233">
        <f t="shared" si="17"/>
        <v>0</v>
      </c>
      <c r="AC20" s="234" t="e">
        <f t="shared" si="17"/>
        <v>#VALUE!</v>
      </c>
      <c r="AD20" s="235" t="e">
        <f t="shared" si="17"/>
        <v>#VALUE!</v>
      </c>
      <c r="AE20" s="236" t="str">
        <f t="shared" si="16"/>
        <v/>
      </c>
      <c r="AJ20" s="30"/>
      <c r="AK20" s="940"/>
      <c r="AL20" s="30"/>
      <c r="AM20" s="17"/>
      <c r="AN20" s="17"/>
    </row>
    <row r="21" spans="2:41" ht="16.2" thickBot="1">
      <c r="B21" s="182"/>
      <c r="C21" s="954"/>
      <c r="D21" s="170" t="s">
        <v>36</v>
      </c>
      <c r="E21" s="239"/>
      <c r="F21" s="175" t="s">
        <v>37</v>
      </c>
      <c r="G21" s="239"/>
      <c r="H21" s="239"/>
      <c r="I21" s="240"/>
      <c r="J21" s="239"/>
      <c r="K21" s="239"/>
      <c r="L21" s="239"/>
      <c r="M21" s="240"/>
      <c r="N21" s="241"/>
      <c r="O21" s="241"/>
      <c r="P21" s="242"/>
      <c r="Q21" s="241"/>
      <c r="R21" s="241"/>
      <c r="S21" s="242"/>
      <c r="T21" s="241"/>
      <c r="U21" s="241"/>
      <c r="V21" s="242"/>
      <c r="W21" s="241"/>
      <c r="X21" s="241"/>
      <c r="Y21" s="242"/>
      <c r="Z21" s="245"/>
      <c r="AA21" s="180"/>
      <c r="AB21" s="256"/>
      <c r="AC21" s="257"/>
      <c r="AD21" s="258"/>
      <c r="AE21" s="259"/>
      <c r="AJ21" s="30"/>
      <c r="AK21" s="2"/>
      <c r="AL21" s="30"/>
      <c r="AM21" s="17"/>
      <c r="AN21" s="17"/>
    </row>
    <row r="22" spans="2:41" ht="15.75" customHeight="1">
      <c r="B22" s="182">
        <v>1</v>
      </c>
      <c r="C22" s="955"/>
      <c r="D22" s="97" t="s">
        <v>79</v>
      </c>
      <c r="E22" s="260"/>
      <c r="F22" s="252"/>
      <c r="G22" s="185">
        <v>8</v>
      </c>
      <c r="H22" s="186"/>
      <c r="I22" s="187">
        <f>IFERROR(H22/G22,"")</f>
        <v>0</v>
      </c>
      <c r="J22" s="188" t="e">
        <f>SUMIF('[1]Total 2'!$I:$I,_xlfn.TEXTJOIN(" ",TRUE,'NEW ATD PER TEAM'!$D$21,'NEW ATD PER TEAM'!$D22),'[1]Total 2'!L:L)</f>
        <v>#VALUE!</v>
      </c>
      <c r="K22" s="189" t="e">
        <f>J22*68/40</f>
        <v>#VALUE!</v>
      </c>
      <c r="L22" s="190" t="e">
        <f>SUMIF('[1]Total 2'!$I:$I,_xlfn.TEXTJOIN(" ",TRUE,'NEW ATD PER TEAM'!$D$21,'NEW ATD PER TEAM'!$D22),'[1]Total 2'!O:O)</f>
        <v>#VALUE!</v>
      </c>
      <c r="M22" s="191">
        <f>IFERROR(L22/K22,0)</f>
        <v>0</v>
      </c>
      <c r="N22" s="192" t="e">
        <f>J22*68/24</f>
        <v>#VALUE!</v>
      </c>
      <c r="O22" s="193" t="e">
        <f>SUMIF('[1]Total 2'!$I:$I,_xlfn.TEXTJOIN(" ",TRUE,'NEW ATD PER TEAM'!$D$21,'NEW ATD PER TEAM'!$D22),'[1]Total 2'!R:R)</f>
        <v>#VALUE!</v>
      </c>
      <c r="P22" s="191">
        <f>IFERROR(O22/N22,0)</f>
        <v>0</v>
      </c>
      <c r="Q22" s="192" t="e">
        <f>J22*68/24</f>
        <v>#VALUE!</v>
      </c>
      <c r="R22" s="193" t="e">
        <f>SUMIF('[1]Total 2'!$I:$I,_xlfn.TEXTJOIN(" ",TRUE,'NEW ATD PER TEAM'!$D$21,'NEW ATD PER TEAM'!$D22),'[1]Total 2'!U:U)</f>
        <v>#VALUE!</v>
      </c>
      <c r="S22" s="191">
        <f>IFERROR(R22/Q22,0)</f>
        <v>0</v>
      </c>
      <c r="T22" s="192" t="e">
        <f>J22*68/12</f>
        <v>#VALUE!</v>
      </c>
      <c r="U22" s="193" t="e">
        <f>SUMIF('[1]Total 2'!$I:$I,_xlfn.TEXTJOIN(" ",TRUE,'NEW ATD PER TEAM'!$D$21,'NEW ATD PER TEAM'!$D22),'[1]Total 2'!X:X)</f>
        <v>#VALUE!</v>
      </c>
      <c r="V22" s="191">
        <f>IFERROR(U22/T22,0)</f>
        <v>0</v>
      </c>
      <c r="W22" s="192" t="e">
        <f>J22*68/12</f>
        <v>#VALUE!</v>
      </c>
      <c r="X22" s="193" t="e">
        <f>SUMIF('[1]Total 2'!$I:$I,_xlfn.TEXTJOIN(" ",TRUE,'NEW ATD PER TEAM'!$D$21,'NEW ATD PER TEAM'!$D22),'[1]Total 2'!AA:AA)</f>
        <v>#VALUE!</v>
      </c>
      <c r="Y22" s="191">
        <f>IFERROR(X22/W22,0)</f>
        <v>0</v>
      </c>
      <c r="Z22" s="197" t="e">
        <f>SUMIF('[1]Total 2'!$I:$I,_xlfn.TEXTJOIN(" ",TRUE,'NEW ATD PER TEAM'!$D$21,'NEW ATD PER TEAM'!$D22),'[1]Total 2'!AC:AC)</f>
        <v>#VALUE!</v>
      </c>
      <c r="AA22" s="253" t="e">
        <f>SUMIF('[1]Total 2'!$I:$I,_xlfn.TEXTJOIN(" ",TRUE,'NEW ATD PER TEAM'!$D$21,'NEW ATD PER TEAM'!$D22),'[1]Total 2'!AD:AD)</f>
        <v>#VALUE!</v>
      </c>
      <c r="AB22" s="196"/>
      <c r="AC22" s="197" t="e">
        <f>J22*1854*40</f>
        <v>#VALUE!</v>
      </c>
      <c r="AD22" s="253" t="e">
        <f>AA22</f>
        <v>#VALUE!</v>
      </c>
      <c r="AE22" s="199" t="str">
        <f>IFERROR(AD22/AC22,"")</f>
        <v/>
      </c>
      <c r="AJ22" s="30"/>
      <c r="AK22" s="940"/>
      <c r="AL22" s="30"/>
      <c r="AM22" s="261"/>
    </row>
    <row r="23" spans="2:41" ht="15" customHeight="1">
      <c r="B23" s="182">
        <v>2</v>
      </c>
      <c r="C23" s="955"/>
      <c r="D23" s="57" t="s">
        <v>81</v>
      </c>
      <c r="E23" s="254"/>
      <c r="F23" s="201"/>
      <c r="G23" s="202">
        <v>8</v>
      </c>
      <c r="H23" s="203"/>
      <c r="I23" s="204">
        <f t="shared" ref="I23:I26" si="22">IFERROR(H23/G23,"")</f>
        <v>0</v>
      </c>
      <c r="J23" s="21" t="e">
        <f>SUMIF('[1]Total 2'!$I:$I,_xlfn.TEXTJOIN(" ",TRUE,'NEW ATD PER TEAM'!$D$21,'NEW ATD PER TEAM'!$D23),'[1]Total 2'!L:L)</f>
        <v>#VALUE!</v>
      </c>
      <c r="K23" s="105" t="e">
        <f>J23*68/40</f>
        <v>#VALUE!</v>
      </c>
      <c r="L23" s="190" t="e">
        <f>SUMIF('[1]Total 2'!$I:$I,_xlfn.TEXTJOIN(" ",TRUE,'NEW ATD PER TEAM'!$D$21,'NEW ATD PER TEAM'!$D23),'[1]Total 2'!O:O)</f>
        <v>#VALUE!</v>
      </c>
      <c r="M23" s="205">
        <f t="shared" ref="M23:M26" si="23">IFERROR(L23/K23,0)</f>
        <v>0</v>
      </c>
      <c r="N23" s="18" t="e">
        <f>J23*68/24</f>
        <v>#VALUE!</v>
      </c>
      <c r="O23" s="103" t="e">
        <f>SUMIF('[1]Total 2'!$I:$I,_xlfn.TEXTJOIN(" ",TRUE,'NEW ATD PER TEAM'!$D$21,'NEW ATD PER TEAM'!$D23),'[1]Total 2'!R:R)</f>
        <v>#VALUE!</v>
      </c>
      <c r="P23" s="205">
        <f t="shared" ref="P23:P26" si="24">IFERROR(O23/N23,0)</f>
        <v>0</v>
      </c>
      <c r="Q23" s="18" t="e">
        <f>J23*68/24</f>
        <v>#VALUE!</v>
      </c>
      <c r="R23" s="103" t="e">
        <f>SUMIF('[1]Total 2'!$I:$I,_xlfn.TEXTJOIN(" ",TRUE,'NEW ATD PER TEAM'!$D$21,'NEW ATD PER TEAM'!$D23),'[1]Total 2'!U:U)</f>
        <v>#VALUE!</v>
      </c>
      <c r="S23" s="205">
        <f t="shared" ref="S23:S26" si="25">IFERROR(R23/Q23,0)</f>
        <v>0</v>
      </c>
      <c r="T23" s="18" t="e">
        <f>J23*68/12</f>
        <v>#VALUE!</v>
      </c>
      <c r="U23" s="103" t="e">
        <f>SUMIF('[1]Total 2'!$I:$I,_xlfn.TEXTJOIN(" ",TRUE,'NEW ATD PER TEAM'!$D$21,'NEW ATD PER TEAM'!$D23),'[1]Total 2'!X:X)</f>
        <v>#VALUE!</v>
      </c>
      <c r="V23" s="205">
        <f t="shared" ref="V23:V26" si="26">IFERROR(U23/T23,0)</f>
        <v>0</v>
      </c>
      <c r="W23" s="18" t="e">
        <f>J23*68/12</f>
        <v>#VALUE!</v>
      </c>
      <c r="X23" s="103" t="e">
        <f>SUMIF('[1]Total 2'!$I:$I,_xlfn.TEXTJOIN(" ",TRUE,'NEW ATD PER TEAM'!$D$21,'NEW ATD PER TEAM'!$D23),'[1]Total 2'!AA:AA)</f>
        <v>#VALUE!</v>
      </c>
      <c r="Y23" s="205">
        <f t="shared" ref="Y23:Y26" si="27">IFERROR(X23/W23,0)</f>
        <v>0</v>
      </c>
      <c r="Z23" s="206" t="e">
        <f>SUMIF('[1]Total 2'!$I:$I,_xlfn.TEXTJOIN(" ",TRUE,'NEW ATD PER TEAM'!$D$21,'NEW ATD PER TEAM'!$D23),'[1]Total 2'!AC:AC)</f>
        <v>#VALUE!</v>
      </c>
      <c r="AA23" s="207" t="e">
        <f>SUMIF('[1]Total 2'!$I:$I,_xlfn.TEXTJOIN(" ",TRUE,'NEW ATD PER TEAM'!$D$21,'NEW ATD PER TEAM'!$D23),'[1]Total 2'!AD:AD)</f>
        <v>#VALUE!</v>
      </c>
      <c r="AB23" s="208"/>
      <c r="AC23" s="206" t="e">
        <f>J23*1854*40</f>
        <v>#VALUE!</v>
      </c>
      <c r="AD23" s="207" t="e">
        <f t="shared" ref="AD23:AD25" si="28">AA23</f>
        <v>#VALUE!</v>
      </c>
      <c r="AE23" s="104" t="str">
        <f t="shared" ref="AE23:AE26" si="29">IFERROR(AD23/AC23,"")</f>
        <v/>
      </c>
      <c r="AJ23" s="30"/>
      <c r="AK23" s="940"/>
      <c r="AL23" s="30"/>
      <c r="AM23" s="261"/>
    </row>
    <row r="24" spans="2:41" ht="15.75" customHeight="1">
      <c r="B24" s="182">
        <v>3</v>
      </c>
      <c r="C24" s="955"/>
      <c r="D24" s="57" t="s">
        <v>83</v>
      </c>
      <c r="E24" s="254"/>
      <c r="F24" s="201"/>
      <c r="G24" s="202">
        <v>8</v>
      </c>
      <c r="H24" s="203"/>
      <c r="I24" s="204">
        <f t="shared" si="22"/>
        <v>0</v>
      </c>
      <c r="J24" s="21" t="e">
        <f>SUMIF('[1]Total 2'!$I:$I,_xlfn.TEXTJOIN(" ",TRUE,'NEW ATD PER TEAM'!$D$21,'NEW ATD PER TEAM'!$D24),'[1]Total 2'!L:L)</f>
        <v>#VALUE!</v>
      </c>
      <c r="K24" s="105" t="e">
        <f>J24*68/40</f>
        <v>#VALUE!</v>
      </c>
      <c r="L24" s="190" t="e">
        <f>SUMIF('[1]Total 2'!$I:$I,_xlfn.TEXTJOIN(" ",TRUE,'NEW ATD PER TEAM'!$D$21,'NEW ATD PER TEAM'!$D24),'[1]Total 2'!O:O)</f>
        <v>#VALUE!</v>
      </c>
      <c r="M24" s="205">
        <f t="shared" si="23"/>
        <v>0</v>
      </c>
      <c r="N24" s="18" t="e">
        <f>J24*68/24</f>
        <v>#VALUE!</v>
      </c>
      <c r="O24" s="103" t="e">
        <f>SUMIF('[1]Total 2'!$I:$I,_xlfn.TEXTJOIN(" ",TRUE,'NEW ATD PER TEAM'!$D$21,'NEW ATD PER TEAM'!$D24),'[1]Total 2'!R:R)</f>
        <v>#VALUE!</v>
      </c>
      <c r="P24" s="205">
        <f t="shared" si="24"/>
        <v>0</v>
      </c>
      <c r="Q24" s="18" t="e">
        <f>J24*68/24</f>
        <v>#VALUE!</v>
      </c>
      <c r="R24" s="103" t="e">
        <f>SUMIF('[1]Total 2'!$I:$I,_xlfn.TEXTJOIN(" ",TRUE,'NEW ATD PER TEAM'!$D$21,'NEW ATD PER TEAM'!$D24),'[1]Total 2'!U:U)</f>
        <v>#VALUE!</v>
      </c>
      <c r="S24" s="205">
        <f t="shared" si="25"/>
        <v>0</v>
      </c>
      <c r="T24" s="18" t="e">
        <f>J24*68/12</f>
        <v>#VALUE!</v>
      </c>
      <c r="U24" s="103" t="e">
        <f>SUMIF('[1]Total 2'!$I:$I,_xlfn.TEXTJOIN(" ",TRUE,'NEW ATD PER TEAM'!$D$21,'NEW ATD PER TEAM'!$D24),'[1]Total 2'!X:X)</f>
        <v>#VALUE!</v>
      </c>
      <c r="V24" s="205">
        <f t="shared" si="26"/>
        <v>0</v>
      </c>
      <c r="W24" s="18" t="e">
        <f>J24*68/12</f>
        <v>#VALUE!</v>
      </c>
      <c r="X24" s="103" t="e">
        <f>SUMIF('[1]Total 2'!$I:$I,_xlfn.TEXTJOIN(" ",TRUE,'NEW ATD PER TEAM'!$D$21,'NEW ATD PER TEAM'!$D24),'[1]Total 2'!AA:AA)</f>
        <v>#VALUE!</v>
      </c>
      <c r="Y24" s="205">
        <f t="shared" si="27"/>
        <v>0</v>
      </c>
      <c r="Z24" s="206" t="e">
        <f>SUMIF('[1]Total 2'!$I:$I,_xlfn.TEXTJOIN(" ",TRUE,'NEW ATD PER TEAM'!$D$21,'NEW ATD PER TEAM'!$D24),'[1]Total 2'!AC:AC)</f>
        <v>#VALUE!</v>
      </c>
      <c r="AA24" s="207" t="e">
        <f>SUMIF('[1]Total 2'!$I:$I,_xlfn.TEXTJOIN(" ",TRUE,'NEW ATD PER TEAM'!$D$21,'NEW ATD PER TEAM'!$D24),'[1]Total 2'!AD:AD)</f>
        <v>#VALUE!</v>
      </c>
      <c r="AB24" s="208"/>
      <c r="AC24" s="206" t="e">
        <f>J24*1854*40</f>
        <v>#VALUE!</v>
      </c>
      <c r="AD24" s="207" t="e">
        <f t="shared" si="28"/>
        <v>#VALUE!</v>
      </c>
      <c r="AE24" s="104" t="str">
        <f t="shared" si="29"/>
        <v/>
      </c>
      <c r="AJ24" s="30"/>
      <c r="AK24" s="940"/>
      <c r="AL24" s="30"/>
      <c r="AM24" s="261"/>
    </row>
    <row r="25" spans="2:41" ht="15.75" customHeight="1" thickBot="1">
      <c r="B25" s="182">
        <v>4</v>
      </c>
      <c r="C25" s="955"/>
      <c r="D25" s="209" t="s">
        <v>85</v>
      </c>
      <c r="E25" s="210"/>
      <c r="F25" s="211"/>
      <c r="G25" s="212">
        <v>8</v>
      </c>
      <c r="H25" s="213"/>
      <c r="I25" s="214">
        <f t="shared" si="22"/>
        <v>0</v>
      </c>
      <c r="J25" s="215" t="e">
        <f>SUMIF('[1]Total 2'!$I:$I,_xlfn.TEXTJOIN(" ",TRUE,'NEW ATD PER TEAM'!$D$21,'NEW ATD PER TEAM'!$D25),'[1]Total 2'!L:L)</f>
        <v>#VALUE!</v>
      </c>
      <c r="K25" s="112" t="e">
        <f>J25*68/40</f>
        <v>#VALUE!</v>
      </c>
      <c r="L25" s="190" t="e">
        <f>SUMIF('[1]Total 2'!$I:$I,_xlfn.TEXTJOIN(" ",TRUE,'NEW ATD PER TEAM'!$D$21,'NEW ATD PER TEAM'!$D25),'[1]Total 2'!O:O)</f>
        <v>#VALUE!</v>
      </c>
      <c r="M25" s="216">
        <f t="shared" si="23"/>
        <v>0</v>
      </c>
      <c r="N25" s="109" t="e">
        <f>J25*68/24</f>
        <v>#VALUE!</v>
      </c>
      <c r="O25" s="110" t="e">
        <f>SUMIF('[1]Total 2'!$I:$I,_xlfn.TEXTJOIN(" ",TRUE,'NEW ATD PER TEAM'!$D$21,'NEW ATD PER TEAM'!$D25),'[1]Total 2'!R:R)</f>
        <v>#VALUE!</v>
      </c>
      <c r="P25" s="216">
        <f t="shared" si="24"/>
        <v>0</v>
      </c>
      <c r="Q25" s="109" t="e">
        <f>J25*68/24</f>
        <v>#VALUE!</v>
      </c>
      <c r="R25" s="110" t="e">
        <f>SUMIF('[1]Total 2'!$I:$I,_xlfn.TEXTJOIN(" ",TRUE,'NEW ATD PER TEAM'!$D$21,'NEW ATD PER TEAM'!$D25),'[1]Total 2'!U:U)</f>
        <v>#VALUE!</v>
      </c>
      <c r="S25" s="216">
        <f t="shared" si="25"/>
        <v>0</v>
      </c>
      <c r="T25" s="109" t="e">
        <f>J25*68/12</f>
        <v>#VALUE!</v>
      </c>
      <c r="U25" s="110" t="e">
        <f>SUMIF('[1]Total 2'!$I:$I,_xlfn.TEXTJOIN(" ",TRUE,'NEW ATD PER TEAM'!$D$21,'NEW ATD PER TEAM'!$D25),'[1]Total 2'!X:X)</f>
        <v>#VALUE!</v>
      </c>
      <c r="V25" s="216">
        <f t="shared" si="26"/>
        <v>0</v>
      </c>
      <c r="W25" s="109" t="e">
        <f>J25*68/12</f>
        <v>#VALUE!</v>
      </c>
      <c r="X25" s="110" t="e">
        <f>SUMIF('[1]Total 2'!$I:$I,_xlfn.TEXTJOIN(" ",TRUE,'NEW ATD PER TEAM'!$D$21,'NEW ATD PER TEAM'!$D25),'[1]Total 2'!AA:AA)</f>
        <v>#VALUE!</v>
      </c>
      <c r="Y25" s="216">
        <f t="shared" si="27"/>
        <v>0</v>
      </c>
      <c r="Z25" s="217" t="e">
        <f>SUMIF('[1]Total 2'!$I:$I,_xlfn.TEXTJOIN(" ",TRUE,'NEW ATD PER TEAM'!$D$21,'NEW ATD PER TEAM'!$D25),'[1]Total 2'!AC:AC)</f>
        <v>#VALUE!</v>
      </c>
      <c r="AA25" s="218" t="e">
        <f>SUMIF('[1]Total 2'!$I:$I,_xlfn.TEXTJOIN(" ",TRUE,'NEW ATD PER TEAM'!$D$21,'NEW ATD PER TEAM'!$D25),'[1]Total 2'!AD:AD)</f>
        <v>#VALUE!</v>
      </c>
      <c r="AB25" s="219"/>
      <c r="AC25" s="217" t="e">
        <f>J25*1854*40</f>
        <v>#VALUE!</v>
      </c>
      <c r="AD25" s="218" t="e">
        <f t="shared" si="28"/>
        <v>#VALUE!</v>
      </c>
      <c r="AE25" s="111" t="str">
        <f t="shared" si="29"/>
        <v/>
      </c>
      <c r="AJ25" s="30"/>
      <c r="AK25" s="940"/>
      <c r="AL25" s="30"/>
      <c r="AM25" s="261"/>
    </row>
    <row r="26" spans="2:41" ht="16.2" thickBot="1">
      <c r="B26" s="182"/>
      <c r="C26" s="955"/>
      <c r="D26" s="221"/>
      <c r="E26" s="222" t="s">
        <v>70</v>
      </c>
      <c r="F26" s="223"/>
      <c r="G26" s="224">
        <f>SUM(G22:G25)</f>
        <v>32</v>
      </c>
      <c r="H26" s="262"/>
      <c r="I26" s="225">
        <f t="shared" si="22"/>
        <v>0</v>
      </c>
      <c r="J26" s="226" t="e">
        <f>SUM(J22:J25)</f>
        <v>#VALUE!</v>
      </c>
      <c r="K26" s="227" t="e">
        <f t="shared" ref="K26:AD26" si="30">SUM(K22:K25)</f>
        <v>#VALUE!</v>
      </c>
      <c r="L26" s="255" t="e">
        <f t="shared" si="30"/>
        <v>#VALUE!</v>
      </c>
      <c r="M26" s="229">
        <f t="shared" si="23"/>
        <v>0</v>
      </c>
      <c r="N26" s="230" t="e">
        <f t="shared" ref="N26:O26" si="31">SUM(N22:N25)</f>
        <v>#VALUE!</v>
      </c>
      <c r="O26" s="231" t="e">
        <f t="shared" si="31"/>
        <v>#VALUE!</v>
      </c>
      <c r="P26" s="229">
        <f t="shared" si="24"/>
        <v>0</v>
      </c>
      <c r="Q26" s="230" t="e">
        <f t="shared" ref="Q26:R26" si="32">SUM(Q22:Q25)</f>
        <v>#VALUE!</v>
      </c>
      <c r="R26" s="231" t="e">
        <f t="shared" si="32"/>
        <v>#VALUE!</v>
      </c>
      <c r="S26" s="229">
        <f t="shared" si="25"/>
        <v>0</v>
      </c>
      <c r="T26" s="230" t="e">
        <f t="shared" ref="T26:U26" si="33">SUM(T22:T25)</f>
        <v>#VALUE!</v>
      </c>
      <c r="U26" s="231" t="e">
        <f t="shared" si="33"/>
        <v>#VALUE!</v>
      </c>
      <c r="V26" s="229">
        <f t="shared" si="26"/>
        <v>0</v>
      </c>
      <c r="W26" s="230" t="e">
        <f t="shared" ref="W26:X26" si="34">SUM(W22:W25)</f>
        <v>#VALUE!</v>
      </c>
      <c r="X26" s="231" t="e">
        <f t="shared" si="34"/>
        <v>#VALUE!</v>
      </c>
      <c r="Y26" s="229">
        <f t="shared" si="27"/>
        <v>0</v>
      </c>
      <c r="Z26" s="232" t="e">
        <f>SUM(Z22:Z25)</f>
        <v>#VALUE!</v>
      </c>
      <c r="AA26" s="232" t="e">
        <f>SUM(AA22:AA25)</f>
        <v>#VALUE!</v>
      </c>
      <c r="AB26" s="233">
        <f t="shared" si="30"/>
        <v>0</v>
      </c>
      <c r="AC26" s="234" t="e">
        <f t="shared" si="30"/>
        <v>#VALUE!</v>
      </c>
      <c r="AD26" s="235" t="e">
        <f t="shared" si="30"/>
        <v>#VALUE!</v>
      </c>
      <c r="AE26" s="236" t="str">
        <f t="shared" si="29"/>
        <v/>
      </c>
      <c r="AJ26" s="30"/>
      <c r="AK26" s="940"/>
      <c r="AL26" s="30"/>
      <c r="AM26" s="261"/>
    </row>
    <row r="27" spans="2:41" ht="16.2" thickBot="1">
      <c r="B27" s="182"/>
      <c r="C27" s="954"/>
      <c r="D27" s="170" t="s">
        <v>88</v>
      </c>
      <c r="E27" s="239"/>
      <c r="F27" s="172" t="s">
        <v>89</v>
      </c>
      <c r="G27" s="239"/>
      <c r="H27" s="239"/>
      <c r="I27" s="240"/>
      <c r="J27" s="239"/>
      <c r="K27" s="239"/>
      <c r="L27" s="239"/>
      <c r="M27" s="240"/>
      <c r="N27" s="241"/>
      <c r="O27" s="241"/>
      <c r="P27" s="242"/>
      <c r="Q27" s="241"/>
      <c r="R27" s="241"/>
      <c r="S27" s="242"/>
      <c r="T27" s="241"/>
      <c r="U27" s="241"/>
      <c r="V27" s="242"/>
      <c r="W27" s="241"/>
      <c r="X27" s="241"/>
      <c r="Y27" s="242"/>
      <c r="Z27" s="245"/>
      <c r="AA27" s="180"/>
      <c r="AB27" s="180"/>
      <c r="AC27" s="263"/>
      <c r="AD27" s="263"/>
      <c r="AE27" s="264"/>
      <c r="AJ27" s="30"/>
      <c r="AK27" s="940"/>
      <c r="AL27" s="30"/>
      <c r="AM27" s="261"/>
    </row>
    <row r="28" spans="2:41" ht="15.75" customHeight="1">
      <c r="B28" s="182">
        <v>1</v>
      </c>
      <c r="C28" s="955"/>
      <c r="D28" s="97" t="s">
        <v>79</v>
      </c>
      <c r="E28" s="265" t="s">
        <v>90</v>
      </c>
      <c r="F28" s="184"/>
      <c r="G28" s="185">
        <v>8</v>
      </c>
      <c r="H28" s="186">
        <v>7</v>
      </c>
      <c r="I28" s="187">
        <f>IFERROR(H28/G28,"")</f>
        <v>0.875</v>
      </c>
      <c r="J28" s="188" t="e">
        <f>SUMIF('[1]Total 2'!$I:$I,_xlfn.TEXTJOIN(" ",TRUE,'NEW ATD PER TEAM'!$D$27,'NEW ATD PER TEAM'!$D28),'[1]Total 2'!L:L)</f>
        <v>#VALUE!</v>
      </c>
      <c r="K28" s="189" t="e">
        <f>J28*68/40</f>
        <v>#VALUE!</v>
      </c>
      <c r="L28" s="190" t="e">
        <f>SUMIF('[1]Total 2'!$I:$I,_xlfn.TEXTJOIN(" ",TRUE,'NEW ATD PER TEAM'!$D$27,'NEW ATD PER TEAM'!$D28),'[1]Total 2'!O:O)</f>
        <v>#VALUE!</v>
      </c>
      <c r="M28" s="191">
        <f>IFERROR(L28/K28,0)</f>
        <v>0</v>
      </c>
      <c r="N28" s="192" t="e">
        <f>J28*68/24</f>
        <v>#VALUE!</v>
      </c>
      <c r="O28" s="193" t="e">
        <f>SUMIF('[1]Total 2'!$I:$I,_xlfn.TEXTJOIN(" ",TRUE,'NEW ATD PER TEAM'!$D$27,'NEW ATD PER TEAM'!$D28),'[1]Total 2'!R:R)</f>
        <v>#VALUE!</v>
      </c>
      <c r="P28" s="191">
        <f>IFERROR(O28/N28,0)</f>
        <v>0</v>
      </c>
      <c r="Q28" s="192" t="e">
        <f>J28*68/24</f>
        <v>#VALUE!</v>
      </c>
      <c r="R28" s="193" t="e">
        <f>SUMIF('[1]Total 2'!$I:$I,_xlfn.TEXTJOIN(" ",TRUE,'NEW ATD PER TEAM'!$D$27,'NEW ATD PER TEAM'!$D28),'[1]Total 2'!U:U)</f>
        <v>#VALUE!</v>
      </c>
      <c r="S28" s="191">
        <f>IFERROR(R28/Q28,0)</f>
        <v>0</v>
      </c>
      <c r="T28" s="192" t="e">
        <f>J28*68/12</f>
        <v>#VALUE!</v>
      </c>
      <c r="U28" s="193" t="e">
        <f>SUMIF('[1]Total 2'!$I:$I,_xlfn.TEXTJOIN(" ",TRUE,'NEW ATD PER TEAM'!$D$27,'NEW ATD PER TEAM'!$D28),'[1]Total 2'!X:X)</f>
        <v>#VALUE!</v>
      </c>
      <c r="V28" s="191">
        <f>IFERROR(U28/T28,0)</f>
        <v>0</v>
      </c>
      <c r="W28" s="192" t="e">
        <f>J28*68/12</f>
        <v>#VALUE!</v>
      </c>
      <c r="X28" s="193" t="e">
        <f>SUMIF('[1]Total 2'!$I:$I,_xlfn.TEXTJOIN(" ",TRUE,'NEW ATD PER TEAM'!$D$27,'NEW ATD PER TEAM'!$D28),'[1]Total 2'!AA:AA)</f>
        <v>#VALUE!</v>
      </c>
      <c r="Y28" s="191">
        <f>IFERROR(X28/W28,0)</f>
        <v>0</v>
      </c>
      <c r="Z28" s="197" t="e">
        <f>SUMIF('[1]Total 2'!$I:$I,_xlfn.TEXTJOIN(" ",TRUE,'NEW ATD PER TEAM'!$D$27,'NEW ATD PER TEAM'!$D28),'[1]Total 2'!AC:AC)</f>
        <v>#VALUE!</v>
      </c>
      <c r="AA28" s="253" t="e">
        <f>SUMIF('[1]Total 2'!$I:$I,_xlfn.TEXTJOIN(" ",TRUE,'NEW ATD PER TEAM'!$D$27,'NEW ATD PER TEAM'!$D28),'[1]Total 2'!AD:AD)</f>
        <v>#VALUE!</v>
      </c>
      <c r="AB28" s="196"/>
      <c r="AC28" s="197" t="e">
        <f>J28*1854*40</f>
        <v>#VALUE!</v>
      </c>
      <c r="AD28" s="198" t="e">
        <f>AA28</f>
        <v>#VALUE!</v>
      </c>
      <c r="AE28" s="199" t="str">
        <f>IFERROR(AD28/AC28,"")</f>
        <v/>
      </c>
      <c r="AJ28" s="30"/>
      <c r="AK28" s="940"/>
      <c r="AL28" s="30"/>
      <c r="AM28" s="261"/>
    </row>
    <row r="29" spans="2:41" ht="15.75" customHeight="1">
      <c r="B29" s="182">
        <v>2</v>
      </c>
      <c r="C29" s="955"/>
      <c r="D29" s="57" t="s">
        <v>81</v>
      </c>
      <c r="E29" s="254"/>
      <c r="F29" s="201"/>
      <c r="G29" s="202">
        <v>8</v>
      </c>
      <c r="H29" s="203"/>
      <c r="I29" s="204">
        <f t="shared" ref="I29:I32" si="35">IFERROR(H29/G29,"")</f>
        <v>0</v>
      </c>
      <c r="J29" s="21" t="e">
        <f>SUMIF('[1]Total 2'!$I:$I,_xlfn.TEXTJOIN(" ",TRUE,'NEW ATD PER TEAM'!$D$27,'NEW ATD PER TEAM'!$D29),'[1]Total 2'!L:L)</f>
        <v>#VALUE!</v>
      </c>
      <c r="K29" s="105" t="e">
        <f>J29*68/40</f>
        <v>#VALUE!</v>
      </c>
      <c r="L29" s="190" t="e">
        <f>SUMIF('[1]Total 2'!$I:$I,_xlfn.TEXTJOIN(" ",TRUE,'NEW ATD PER TEAM'!$D$27,'NEW ATD PER TEAM'!$D29),'[1]Total 2'!O:O)</f>
        <v>#VALUE!</v>
      </c>
      <c r="M29" s="205">
        <f t="shared" ref="M29:M32" si="36">IFERROR(L29/K29,0)</f>
        <v>0</v>
      </c>
      <c r="N29" s="18" t="e">
        <f>J29*68/24</f>
        <v>#VALUE!</v>
      </c>
      <c r="O29" s="103" t="e">
        <f>SUMIF('[1]Total 2'!$I:$I,_xlfn.TEXTJOIN(" ",TRUE,'NEW ATD PER TEAM'!$D$27,'NEW ATD PER TEAM'!$D29),'[1]Total 2'!R:R)</f>
        <v>#VALUE!</v>
      </c>
      <c r="P29" s="205">
        <f t="shared" ref="P29:P32" si="37">IFERROR(O29/N29,0)</f>
        <v>0</v>
      </c>
      <c r="Q29" s="18" t="e">
        <f>J29*68/24</f>
        <v>#VALUE!</v>
      </c>
      <c r="R29" s="103" t="e">
        <f>SUMIF('[1]Total 2'!$I:$I,_xlfn.TEXTJOIN(" ",TRUE,'NEW ATD PER TEAM'!$D$27,'NEW ATD PER TEAM'!$D29),'[1]Total 2'!U:U)</f>
        <v>#VALUE!</v>
      </c>
      <c r="S29" s="205">
        <f t="shared" ref="S29:S32" si="38">IFERROR(R29/Q29,0)</f>
        <v>0</v>
      </c>
      <c r="T29" s="192" t="e">
        <f>J29*68/12</f>
        <v>#VALUE!</v>
      </c>
      <c r="U29" s="103" t="e">
        <f>SUMIF('[1]Total 2'!$I:$I,_xlfn.TEXTJOIN(" ",TRUE,'NEW ATD PER TEAM'!$D$27,'NEW ATD PER TEAM'!$D29),'[1]Total 2'!X:X)</f>
        <v>#VALUE!</v>
      </c>
      <c r="V29" s="205">
        <f t="shared" ref="V29:V32" si="39">IFERROR(U29/T29,0)</f>
        <v>0</v>
      </c>
      <c r="W29" s="192" t="e">
        <f>J29*68/12</f>
        <v>#VALUE!</v>
      </c>
      <c r="X29" s="103" t="e">
        <f>SUMIF('[1]Total 2'!$I:$I,_xlfn.TEXTJOIN(" ",TRUE,'NEW ATD PER TEAM'!$D$27,'NEW ATD PER TEAM'!$D29),'[1]Total 2'!AA:AA)</f>
        <v>#VALUE!</v>
      </c>
      <c r="Y29" s="205">
        <f t="shared" ref="Y29:Y32" si="40">IFERROR(X29/W29,0)</f>
        <v>0</v>
      </c>
      <c r="Z29" s="206" t="e">
        <f>SUMIF('[1]Total 2'!$I:$I,_xlfn.TEXTJOIN(" ",TRUE,'NEW ATD PER TEAM'!$D$27,'NEW ATD PER TEAM'!$D29),'[1]Total 2'!AC:AC)</f>
        <v>#VALUE!</v>
      </c>
      <c r="AA29" s="207" t="e">
        <f>SUMIF('[1]Total 2'!$I:$I,_xlfn.TEXTJOIN(" ",TRUE,'NEW ATD PER TEAM'!$D$27,'NEW ATD PER TEAM'!$D29),'[1]Total 2'!AD:AD)</f>
        <v>#VALUE!</v>
      </c>
      <c r="AB29" s="208"/>
      <c r="AC29" s="206" t="e">
        <f>J29*1854*40</f>
        <v>#VALUE!</v>
      </c>
      <c r="AD29" s="25" t="e">
        <f t="shared" ref="AD29:AD31" si="41">AA29</f>
        <v>#VALUE!</v>
      </c>
      <c r="AE29" s="104" t="str">
        <f t="shared" ref="AE29:AE32" si="42">IFERROR(AD29/AC29,"")</f>
        <v/>
      </c>
      <c r="AJ29" s="30"/>
      <c r="AK29" s="940"/>
      <c r="AL29" s="30"/>
      <c r="AM29" s="261"/>
    </row>
    <row r="30" spans="2:41" ht="15.75" customHeight="1">
      <c r="B30" s="182">
        <v>3</v>
      </c>
      <c r="C30" s="955"/>
      <c r="D30" s="57" t="s">
        <v>83</v>
      </c>
      <c r="E30" s="254"/>
      <c r="F30" s="201"/>
      <c r="G30" s="202">
        <v>8</v>
      </c>
      <c r="H30" s="203"/>
      <c r="I30" s="204">
        <f t="shared" si="35"/>
        <v>0</v>
      </c>
      <c r="J30" s="21" t="e">
        <f>SUMIF('[1]Total 2'!$I:$I,_xlfn.TEXTJOIN(" ",TRUE,'NEW ATD PER TEAM'!$D$27,'NEW ATD PER TEAM'!$D30),'[1]Total 2'!L:L)</f>
        <v>#VALUE!</v>
      </c>
      <c r="K30" s="105" t="e">
        <f>J30*68/40</f>
        <v>#VALUE!</v>
      </c>
      <c r="L30" s="190" t="e">
        <f>SUMIF('[1]Total 2'!$I:$I,_xlfn.TEXTJOIN(" ",TRUE,'NEW ATD PER TEAM'!$D$27,'NEW ATD PER TEAM'!$D30),'[1]Total 2'!O:O)</f>
        <v>#VALUE!</v>
      </c>
      <c r="M30" s="205">
        <f t="shared" si="36"/>
        <v>0</v>
      </c>
      <c r="N30" s="18" t="e">
        <f>J30*68/24</f>
        <v>#VALUE!</v>
      </c>
      <c r="O30" s="103" t="e">
        <f>SUMIF('[1]Total 2'!$I:$I,_xlfn.TEXTJOIN(" ",TRUE,'NEW ATD PER TEAM'!$D$27,'NEW ATD PER TEAM'!$D30),'[1]Total 2'!R:R)</f>
        <v>#VALUE!</v>
      </c>
      <c r="P30" s="205">
        <f t="shared" si="37"/>
        <v>0</v>
      </c>
      <c r="Q30" s="18" t="e">
        <f>J30*68/24</f>
        <v>#VALUE!</v>
      </c>
      <c r="R30" s="103" t="e">
        <f>SUMIF('[1]Total 2'!$I:$I,_xlfn.TEXTJOIN(" ",TRUE,'NEW ATD PER TEAM'!$D$27,'NEW ATD PER TEAM'!$D30),'[1]Total 2'!U:U)</f>
        <v>#VALUE!</v>
      </c>
      <c r="S30" s="205">
        <f t="shared" si="38"/>
        <v>0</v>
      </c>
      <c r="T30" s="192" t="e">
        <f>J30*68/12</f>
        <v>#VALUE!</v>
      </c>
      <c r="U30" s="103" t="e">
        <f>SUMIF('[1]Total 2'!$I:$I,_xlfn.TEXTJOIN(" ",TRUE,'NEW ATD PER TEAM'!$D$27,'NEW ATD PER TEAM'!$D30),'[1]Total 2'!X:X)</f>
        <v>#VALUE!</v>
      </c>
      <c r="V30" s="205">
        <f t="shared" si="39"/>
        <v>0</v>
      </c>
      <c r="W30" s="192" t="e">
        <f>J30*68/12</f>
        <v>#VALUE!</v>
      </c>
      <c r="X30" s="103" t="e">
        <f>SUMIF('[1]Total 2'!$I:$I,_xlfn.TEXTJOIN(" ",TRUE,'NEW ATD PER TEAM'!$D$27,'NEW ATD PER TEAM'!$D30),'[1]Total 2'!AA:AA)</f>
        <v>#VALUE!</v>
      </c>
      <c r="Y30" s="205">
        <f t="shared" si="40"/>
        <v>0</v>
      </c>
      <c r="Z30" s="206" t="e">
        <f>SUMIF('[1]Total 2'!$I:$I,_xlfn.TEXTJOIN(" ",TRUE,'NEW ATD PER TEAM'!$D$27,'NEW ATD PER TEAM'!$D30),'[1]Total 2'!AC:AC)</f>
        <v>#VALUE!</v>
      </c>
      <c r="AA30" s="207" t="e">
        <f>SUMIF('[1]Total 2'!$I:$I,_xlfn.TEXTJOIN(" ",TRUE,'NEW ATD PER TEAM'!$D$27,'NEW ATD PER TEAM'!$D30),'[1]Total 2'!AD:AD)</f>
        <v>#VALUE!</v>
      </c>
      <c r="AB30" s="208"/>
      <c r="AC30" s="206" t="e">
        <f>J30*1854*40</f>
        <v>#VALUE!</v>
      </c>
      <c r="AD30" s="25" t="e">
        <f t="shared" si="41"/>
        <v>#VALUE!</v>
      </c>
      <c r="AE30" s="104" t="str">
        <f t="shared" si="42"/>
        <v/>
      </c>
      <c r="AJ30" s="13"/>
      <c r="AK30" s="940"/>
      <c r="AL30" s="13"/>
      <c r="AM30" s="266"/>
      <c r="AN30" s="12"/>
      <c r="AO30" s="12"/>
    </row>
    <row r="31" spans="2:41" ht="15.75" customHeight="1" thickBot="1">
      <c r="B31" s="182">
        <v>4</v>
      </c>
      <c r="C31" s="955"/>
      <c r="D31" s="209" t="s">
        <v>85</v>
      </c>
      <c r="E31" s="210"/>
      <c r="F31" s="211"/>
      <c r="G31" s="212">
        <v>8</v>
      </c>
      <c r="H31" s="213"/>
      <c r="I31" s="214">
        <f t="shared" si="35"/>
        <v>0</v>
      </c>
      <c r="J31" s="215" t="e">
        <f>SUMIF('[1]Total 2'!$I:$I,_xlfn.TEXTJOIN(" ",TRUE,'NEW ATD PER TEAM'!$D$27,'NEW ATD PER TEAM'!$D31),'[1]Total 2'!L:L)</f>
        <v>#VALUE!</v>
      </c>
      <c r="K31" s="112" t="e">
        <f>J31*68/40</f>
        <v>#VALUE!</v>
      </c>
      <c r="L31" s="190" t="e">
        <f>SUMIF('[1]Total 2'!$I:$I,_xlfn.TEXTJOIN(" ",TRUE,'NEW ATD PER TEAM'!$D$27,'NEW ATD PER TEAM'!$D31),'[1]Total 2'!O:O)</f>
        <v>#VALUE!</v>
      </c>
      <c r="M31" s="216">
        <f t="shared" si="36"/>
        <v>0</v>
      </c>
      <c r="N31" s="109" t="e">
        <f>J31*68/24</f>
        <v>#VALUE!</v>
      </c>
      <c r="O31" s="110" t="e">
        <f>SUMIF('[1]Total 2'!$I:$I,_xlfn.TEXTJOIN(" ",TRUE,'NEW ATD PER TEAM'!$D$27,'NEW ATD PER TEAM'!$D31),'[1]Total 2'!R:R)</f>
        <v>#VALUE!</v>
      </c>
      <c r="P31" s="216">
        <f t="shared" si="37"/>
        <v>0</v>
      </c>
      <c r="Q31" s="109" t="e">
        <f>J31*68/24</f>
        <v>#VALUE!</v>
      </c>
      <c r="R31" s="110" t="e">
        <f>SUMIF('[1]Total 2'!$I:$I,_xlfn.TEXTJOIN(" ",TRUE,'NEW ATD PER TEAM'!$D$27,'NEW ATD PER TEAM'!$D31),'[1]Total 2'!U:U)</f>
        <v>#VALUE!</v>
      </c>
      <c r="S31" s="216">
        <f t="shared" si="38"/>
        <v>0</v>
      </c>
      <c r="T31" s="192" t="e">
        <f>J31*68/12</f>
        <v>#VALUE!</v>
      </c>
      <c r="U31" s="110" t="e">
        <f>SUMIF('[1]Total 2'!$I:$I,_xlfn.TEXTJOIN(" ",TRUE,'NEW ATD PER TEAM'!$D$27,'NEW ATD PER TEAM'!$D31),'[1]Total 2'!X:X)</f>
        <v>#VALUE!</v>
      </c>
      <c r="V31" s="216">
        <f t="shared" si="39"/>
        <v>0</v>
      </c>
      <c r="W31" s="192" t="e">
        <f>J31*68/12</f>
        <v>#VALUE!</v>
      </c>
      <c r="X31" s="110" t="e">
        <f>SUMIF('[1]Total 2'!$I:$I,_xlfn.TEXTJOIN(" ",TRUE,'NEW ATD PER TEAM'!$D$27,'NEW ATD PER TEAM'!$D31),'[1]Total 2'!AA:AA)</f>
        <v>#VALUE!</v>
      </c>
      <c r="Y31" s="216">
        <f t="shared" si="40"/>
        <v>0</v>
      </c>
      <c r="Z31" s="217" t="e">
        <f>SUMIF('[1]Total 2'!$I:$I,_xlfn.TEXTJOIN(" ",TRUE,'NEW ATD PER TEAM'!$D$27,'NEW ATD PER TEAM'!$D31),'[1]Total 2'!AC:AC)</f>
        <v>#VALUE!</v>
      </c>
      <c r="AA31" s="218" t="e">
        <f>SUMIF('[1]Total 2'!$I:$I,_xlfn.TEXTJOIN(" ",TRUE,'NEW ATD PER TEAM'!$D$27,'NEW ATD PER TEAM'!$D31),'[1]Total 2'!AD:AD)</f>
        <v>#VALUE!</v>
      </c>
      <c r="AB31" s="219"/>
      <c r="AC31" s="267" t="e">
        <f>J31*1854*40</f>
        <v>#VALUE!</v>
      </c>
      <c r="AD31" s="220" t="e">
        <f t="shared" si="41"/>
        <v>#VALUE!</v>
      </c>
      <c r="AE31" s="268" t="str">
        <f t="shared" si="42"/>
        <v/>
      </c>
      <c r="AJ31" s="30"/>
      <c r="AK31" s="940"/>
      <c r="AL31" s="30"/>
      <c r="AM31" s="261"/>
    </row>
    <row r="32" spans="2:41" ht="16.2" thickBot="1">
      <c r="B32" s="182"/>
      <c r="C32" s="955"/>
      <c r="D32" s="269"/>
      <c r="E32" s="270" t="s">
        <v>70</v>
      </c>
      <c r="F32" s="271"/>
      <c r="G32" s="224">
        <f>SUM(G28:G31)</f>
        <v>32</v>
      </c>
      <c r="H32" s="224">
        <f>SUM(H28:H31)</f>
        <v>7</v>
      </c>
      <c r="I32" s="225">
        <f t="shared" si="35"/>
        <v>0.21875</v>
      </c>
      <c r="J32" s="226" t="e">
        <f>SUM(J28:J31)</f>
        <v>#VALUE!</v>
      </c>
      <c r="K32" s="262" t="e">
        <f t="shared" ref="K32:AD32" si="43">SUM(K28:K31)</f>
        <v>#VALUE!</v>
      </c>
      <c r="L32" s="272" t="e">
        <f t="shared" si="43"/>
        <v>#VALUE!</v>
      </c>
      <c r="M32" s="273">
        <f t="shared" si="36"/>
        <v>0</v>
      </c>
      <c r="N32" s="226" t="e">
        <f t="shared" ref="N32:O32" si="44">SUM(N28:N31)</f>
        <v>#VALUE!</v>
      </c>
      <c r="O32" s="274" t="e">
        <f t="shared" si="44"/>
        <v>#VALUE!</v>
      </c>
      <c r="P32" s="273">
        <f t="shared" si="37"/>
        <v>0</v>
      </c>
      <c r="Q32" s="226" t="e">
        <f t="shared" ref="Q32:R32" si="45">SUM(Q28:Q31)</f>
        <v>#VALUE!</v>
      </c>
      <c r="R32" s="274" t="e">
        <f t="shared" si="45"/>
        <v>#VALUE!</v>
      </c>
      <c r="S32" s="273">
        <f t="shared" si="38"/>
        <v>0</v>
      </c>
      <c r="T32" s="226" t="e">
        <f t="shared" ref="T32:U32" si="46">SUM(T28:T31)</f>
        <v>#VALUE!</v>
      </c>
      <c r="U32" s="274" t="e">
        <f t="shared" si="46"/>
        <v>#VALUE!</v>
      </c>
      <c r="V32" s="273">
        <f t="shared" si="39"/>
        <v>0</v>
      </c>
      <c r="W32" s="226" t="e">
        <f t="shared" ref="W32:X32" si="47">SUM(W28:W31)</f>
        <v>#VALUE!</v>
      </c>
      <c r="X32" s="274" t="e">
        <f t="shared" si="47"/>
        <v>#VALUE!</v>
      </c>
      <c r="Y32" s="273">
        <f t="shared" si="40"/>
        <v>0</v>
      </c>
      <c r="Z32" s="232" t="e">
        <f>SUM(Z28:Z31)</f>
        <v>#VALUE!</v>
      </c>
      <c r="AA32" s="232" t="e">
        <f>SUM(AA28:AA31)</f>
        <v>#VALUE!</v>
      </c>
      <c r="AB32" s="233">
        <f t="shared" si="43"/>
        <v>0</v>
      </c>
      <c r="AC32" s="234" t="e">
        <f t="shared" si="43"/>
        <v>#VALUE!</v>
      </c>
      <c r="AD32" s="235" t="e">
        <f t="shared" si="43"/>
        <v>#VALUE!</v>
      </c>
      <c r="AE32" s="236" t="str">
        <f t="shared" si="42"/>
        <v/>
      </c>
      <c r="AJ32" s="12"/>
      <c r="AK32" s="12"/>
      <c r="AL32" s="12"/>
      <c r="AM32" s="12"/>
      <c r="AN32" s="12"/>
      <c r="AO32" s="12"/>
    </row>
    <row r="33" spans="2:41" ht="16.2" thickBot="1">
      <c r="B33" s="182"/>
      <c r="C33" s="954"/>
      <c r="D33" s="170" t="s">
        <v>91</v>
      </c>
      <c r="E33" s="239"/>
      <c r="F33" s="172" t="s">
        <v>40</v>
      </c>
      <c r="G33" s="239"/>
      <c r="H33" s="239"/>
      <c r="I33" s="240"/>
      <c r="J33" s="239"/>
      <c r="K33" s="239"/>
      <c r="L33" s="239"/>
      <c r="M33" s="240"/>
      <c r="N33" s="241"/>
      <c r="O33" s="241"/>
      <c r="P33" s="242"/>
      <c r="Q33" s="241"/>
      <c r="R33" s="241"/>
      <c r="S33" s="242"/>
      <c r="T33" s="241"/>
      <c r="U33" s="241"/>
      <c r="V33" s="242"/>
      <c r="W33" s="241"/>
      <c r="X33" s="241"/>
      <c r="Y33" s="242"/>
      <c r="Z33" s="245"/>
      <c r="AA33" s="180"/>
      <c r="AB33" s="180"/>
      <c r="AC33" s="263"/>
      <c r="AD33" s="263"/>
      <c r="AE33" s="264"/>
      <c r="AJ33" s="12"/>
      <c r="AK33" s="12"/>
      <c r="AL33" s="12"/>
      <c r="AM33" s="12"/>
      <c r="AN33" s="12"/>
      <c r="AO33" s="12"/>
    </row>
    <row r="34" spans="2:41" ht="15.75" customHeight="1">
      <c r="B34" s="182">
        <v>1</v>
      </c>
      <c r="C34" s="955"/>
      <c r="D34" s="97" t="s">
        <v>79</v>
      </c>
      <c r="E34" s="275" t="s">
        <v>92</v>
      </c>
      <c r="F34" s="252"/>
      <c r="G34" s="185">
        <v>8</v>
      </c>
      <c r="H34" s="186">
        <v>7</v>
      </c>
      <c r="I34" s="187">
        <f>IFERROR(H34/G34,"")</f>
        <v>0.875</v>
      </c>
      <c r="J34" s="188" t="e">
        <f>SUMIF('[1]Total 2'!$I:$I,_xlfn.TEXTJOIN(" ",TRUE,'NEW ATD PER TEAM'!$D$33,'NEW ATD PER TEAM'!$D34),'[1]Total 2'!L:L)</f>
        <v>#VALUE!</v>
      </c>
      <c r="K34" s="189" t="e">
        <f>J34*68/40</f>
        <v>#VALUE!</v>
      </c>
      <c r="L34" s="190" t="e">
        <f>SUMIF('[1]Total 2'!$I:$I,_xlfn.TEXTJOIN(" ",TRUE,'NEW ATD PER TEAM'!$D$33,'NEW ATD PER TEAM'!$D34),'[1]Total 2'!O:O)</f>
        <v>#VALUE!</v>
      </c>
      <c r="M34" s="191">
        <f>IFERROR(L34/K34,0)</f>
        <v>0</v>
      </c>
      <c r="N34" s="192" t="e">
        <f>J34*68/24</f>
        <v>#VALUE!</v>
      </c>
      <c r="O34" s="193" t="e">
        <f>SUMIF('[1]Total 2'!$I:$I,_xlfn.TEXTJOIN(" ",TRUE,'NEW ATD PER TEAM'!$D$33,'NEW ATD PER TEAM'!$D34),'[1]Total 2'!R:R)</f>
        <v>#VALUE!</v>
      </c>
      <c r="P34" s="191">
        <f>IFERROR(O34/N34,0)</f>
        <v>0</v>
      </c>
      <c r="Q34" s="192" t="e">
        <f>J34*68/24</f>
        <v>#VALUE!</v>
      </c>
      <c r="R34" s="193" t="e">
        <f>SUMIF('[1]Total 2'!$I:$I,_xlfn.TEXTJOIN(" ",TRUE,'NEW ATD PER TEAM'!$D$33,'NEW ATD PER TEAM'!$D34),'[1]Total 2'!U:U)</f>
        <v>#VALUE!</v>
      </c>
      <c r="S34" s="191">
        <f>IFERROR(R34/Q34,0)</f>
        <v>0</v>
      </c>
      <c r="T34" s="192" t="e">
        <f>J34*68/12</f>
        <v>#VALUE!</v>
      </c>
      <c r="U34" s="193" t="e">
        <f>SUMIF('[1]Total 2'!$I:$I,_xlfn.TEXTJOIN(" ",TRUE,'NEW ATD PER TEAM'!$D$33,'NEW ATD PER TEAM'!$D34),'[1]Total 2'!X:X)</f>
        <v>#VALUE!</v>
      </c>
      <c r="V34" s="191">
        <f>IFERROR(U34/T34,0)</f>
        <v>0</v>
      </c>
      <c r="W34" s="192" t="e">
        <f>J34*68/12</f>
        <v>#VALUE!</v>
      </c>
      <c r="X34" s="193" t="e">
        <f>SUMIF('[1]Total 2'!$I:$I,_xlfn.TEXTJOIN(" ",TRUE,'NEW ATD PER TEAM'!$D$33,'NEW ATD PER TEAM'!$D34),'[1]Total 2'!AA:AA)</f>
        <v>#VALUE!</v>
      </c>
      <c r="Y34" s="191">
        <f>IFERROR(X34/W34,0)</f>
        <v>0</v>
      </c>
      <c r="Z34" s="197" t="e">
        <f>SUMIF('[1]Total 2'!$I:$I,_xlfn.TEXTJOIN(" ",TRUE,'NEW ATD PER TEAM'!$D$33,'NEW ATD PER TEAM'!$D34),'[1]Total 2'!AC:AC)</f>
        <v>#VALUE!</v>
      </c>
      <c r="AA34" s="253" t="e">
        <f>SUMIF('[1]Total 2'!$I:$I,_xlfn.TEXTJOIN(" ",TRUE,'NEW ATD PER TEAM'!$D$33,'NEW ATD PER TEAM'!$D34),'[1]Total 2'!AD:AD)</f>
        <v>#VALUE!</v>
      </c>
      <c r="AB34" s="196"/>
      <c r="AC34" s="197" t="e">
        <f>J34*1854*40</f>
        <v>#VALUE!</v>
      </c>
      <c r="AD34" s="198" t="e">
        <f>AA34</f>
        <v>#VALUE!</v>
      </c>
      <c r="AE34" s="199" t="str">
        <f>IFERROR(AD34/AC34,"")</f>
        <v/>
      </c>
    </row>
    <row r="35" spans="2:41" ht="15.75" customHeight="1">
      <c r="B35" s="182">
        <v>2</v>
      </c>
      <c r="C35" s="955"/>
      <c r="D35" s="57" t="s">
        <v>81</v>
      </c>
      <c r="E35" s="275" t="s">
        <v>93</v>
      </c>
      <c r="F35" s="201"/>
      <c r="G35" s="202">
        <v>8</v>
      </c>
      <c r="H35" s="203">
        <v>7</v>
      </c>
      <c r="I35" s="204">
        <f t="shared" ref="I35:I38" si="48">IFERROR(H35/G35,"")</f>
        <v>0.875</v>
      </c>
      <c r="J35" s="21" t="e">
        <f>SUMIF('[1]Total 2'!$I:$I,_xlfn.TEXTJOIN(" ",TRUE,'NEW ATD PER TEAM'!$D$33,'NEW ATD PER TEAM'!$D35),'[1]Total 2'!L:L)</f>
        <v>#VALUE!</v>
      </c>
      <c r="K35" s="105" t="e">
        <f>J35*68/40</f>
        <v>#VALUE!</v>
      </c>
      <c r="L35" s="190" t="e">
        <f>SUMIF('[1]Total 2'!$I:$I,_xlfn.TEXTJOIN(" ",TRUE,'NEW ATD PER TEAM'!$D$33,'NEW ATD PER TEAM'!$D35),'[1]Total 2'!O:O)</f>
        <v>#VALUE!</v>
      </c>
      <c r="M35" s="205">
        <f t="shared" ref="M35:M38" si="49">IFERROR(L35/K35,0)</f>
        <v>0</v>
      </c>
      <c r="N35" s="192" t="e">
        <f>J35*68/24</f>
        <v>#VALUE!</v>
      </c>
      <c r="O35" s="103" t="e">
        <f>SUMIF('[1]Total 2'!$I:$I,_xlfn.TEXTJOIN(" ",TRUE,'NEW ATD PER TEAM'!$D$33,'NEW ATD PER TEAM'!$D35),'[1]Total 2'!R:R)</f>
        <v>#VALUE!</v>
      </c>
      <c r="P35" s="205">
        <f t="shared" ref="P35:P38" si="50">IFERROR(O35/N35,0)</f>
        <v>0</v>
      </c>
      <c r="Q35" s="192" t="e">
        <f>J35*68/24</f>
        <v>#VALUE!</v>
      </c>
      <c r="R35" s="103" t="e">
        <f>SUMIF('[1]Total 2'!$I:$I,_xlfn.TEXTJOIN(" ",TRUE,'NEW ATD PER TEAM'!$D$33,'NEW ATD PER TEAM'!$D35),'[1]Total 2'!U:U)</f>
        <v>#VALUE!</v>
      </c>
      <c r="S35" s="205">
        <f t="shared" ref="S35:S38" si="51">IFERROR(R35/Q35,0)</f>
        <v>0</v>
      </c>
      <c r="T35" s="192" t="e">
        <f>J35*68/12</f>
        <v>#VALUE!</v>
      </c>
      <c r="U35" s="103" t="e">
        <f>SUMIF('[1]Total 2'!$I:$I,_xlfn.TEXTJOIN(" ",TRUE,'NEW ATD PER TEAM'!$D$33,'NEW ATD PER TEAM'!$D35),'[1]Total 2'!X:X)</f>
        <v>#VALUE!</v>
      </c>
      <c r="V35" s="205">
        <f t="shared" ref="V35:V38" si="52">IFERROR(U35/T35,0)</f>
        <v>0</v>
      </c>
      <c r="W35" s="192" t="e">
        <f>J35*68/12</f>
        <v>#VALUE!</v>
      </c>
      <c r="X35" s="103" t="e">
        <f>SUMIF('[1]Total 2'!$I:$I,_xlfn.TEXTJOIN(" ",TRUE,'NEW ATD PER TEAM'!$D$33,'NEW ATD PER TEAM'!$D35),'[1]Total 2'!AA:AA)</f>
        <v>#VALUE!</v>
      </c>
      <c r="Y35" s="205">
        <f t="shared" ref="Y35:Y38" si="53">IFERROR(X35/W35,0)</f>
        <v>0</v>
      </c>
      <c r="Z35" s="206" t="e">
        <f>SUMIF('[1]Total 2'!$I:$I,_xlfn.TEXTJOIN(" ",TRUE,'NEW ATD PER TEAM'!$D$33,'NEW ATD PER TEAM'!$D35),'[1]Total 2'!AC:AC)</f>
        <v>#VALUE!</v>
      </c>
      <c r="AA35" s="207" t="e">
        <f>SUMIF('[1]Total 2'!$I:$I,_xlfn.TEXTJOIN(" ",TRUE,'NEW ATD PER TEAM'!$D$33,'NEW ATD PER TEAM'!$D35),'[1]Total 2'!AD:AD)</f>
        <v>#VALUE!</v>
      </c>
      <c r="AB35" s="208"/>
      <c r="AC35" s="206" t="e">
        <f>J35*1854*40</f>
        <v>#VALUE!</v>
      </c>
      <c r="AD35" s="25" t="e">
        <f t="shared" ref="AD35:AD37" si="54">AA35</f>
        <v>#VALUE!</v>
      </c>
      <c r="AE35" s="104" t="str">
        <f t="shared" ref="AE35:AE38" si="55">IFERROR(AD35/AC35,"")</f>
        <v/>
      </c>
    </row>
    <row r="36" spans="2:41" ht="15.75" customHeight="1">
      <c r="B36" s="182">
        <v>3</v>
      </c>
      <c r="C36" s="955"/>
      <c r="D36" s="57" t="s">
        <v>83</v>
      </c>
      <c r="E36" s="275" t="s">
        <v>94</v>
      </c>
      <c r="F36" s="201"/>
      <c r="G36" s="202">
        <v>8</v>
      </c>
      <c r="H36" s="203"/>
      <c r="I36" s="204">
        <f t="shared" si="48"/>
        <v>0</v>
      </c>
      <c r="J36" s="21" t="e">
        <f>SUMIF('[1]Total 2'!$I:$I,_xlfn.TEXTJOIN(" ",TRUE,'NEW ATD PER TEAM'!$D$33,'NEW ATD PER TEAM'!$D36),'[1]Total 2'!L:L)</f>
        <v>#VALUE!</v>
      </c>
      <c r="K36" s="105" t="e">
        <f>J36*68/40</f>
        <v>#VALUE!</v>
      </c>
      <c r="L36" s="190" t="e">
        <f>SUMIF('[1]Total 2'!$I:$I,_xlfn.TEXTJOIN(" ",TRUE,'NEW ATD PER TEAM'!$D$33,'NEW ATD PER TEAM'!$D36),'[1]Total 2'!O:O)</f>
        <v>#VALUE!</v>
      </c>
      <c r="M36" s="205">
        <f t="shared" si="49"/>
        <v>0</v>
      </c>
      <c r="N36" s="192" t="e">
        <f>J36*68/24</f>
        <v>#VALUE!</v>
      </c>
      <c r="O36" s="103" t="e">
        <f>SUMIF('[1]Total 2'!$I:$I,_xlfn.TEXTJOIN(" ",TRUE,'NEW ATD PER TEAM'!$D$33,'NEW ATD PER TEAM'!$D36),'[1]Total 2'!R:R)</f>
        <v>#VALUE!</v>
      </c>
      <c r="P36" s="205">
        <f t="shared" si="50"/>
        <v>0</v>
      </c>
      <c r="Q36" s="192" t="e">
        <f>J36*68/24</f>
        <v>#VALUE!</v>
      </c>
      <c r="R36" s="103" t="e">
        <f>SUMIF('[1]Total 2'!$I:$I,_xlfn.TEXTJOIN(" ",TRUE,'NEW ATD PER TEAM'!$D$33,'NEW ATD PER TEAM'!$D36),'[1]Total 2'!U:U)</f>
        <v>#VALUE!</v>
      </c>
      <c r="S36" s="205">
        <f t="shared" si="51"/>
        <v>0</v>
      </c>
      <c r="T36" s="192" t="e">
        <f>J36*68/12</f>
        <v>#VALUE!</v>
      </c>
      <c r="U36" s="103" t="e">
        <f>SUMIF('[1]Total 2'!$I:$I,_xlfn.TEXTJOIN(" ",TRUE,'NEW ATD PER TEAM'!$D$33,'NEW ATD PER TEAM'!$D36),'[1]Total 2'!X:X)</f>
        <v>#VALUE!</v>
      </c>
      <c r="V36" s="205">
        <f t="shared" si="52"/>
        <v>0</v>
      </c>
      <c r="W36" s="192" t="e">
        <f>J36*68/12</f>
        <v>#VALUE!</v>
      </c>
      <c r="X36" s="103" t="e">
        <f>SUMIF('[1]Total 2'!$I:$I,_xlfn.TEXTJOIN(" ",TRUE,'NEW ATD PER TEAM'!$D$33,'NEW ATD PER TEAM'!$D36),'[1]Total 2'!AA:AA)</f>
        <v>#VALUE!</v>
      </c>
      <c r="Y36" s="205">
        <f t="shared" si="53"/>
        <v>0</v>
      </c>
      <c r="Z36" s="206" t="e">
        <f>SUMIF('[1]Total 2'!$I:$I,_xlfn.TEXTJOIN(" ",TRUE,'NEW ATD PER TEAM'!$D$33,'NEW ATD PER TEAM'!$D36),'[1]Total 2'!AC:AC)</f>
        <v>#VALUE!</v>
      </c>
      <c r="AA36" s="207" t="e">
        <f>SUMIF('[1]Total 2'!$I:$I,_xlfn.TEXTJOIN(" ",TRUE,'NEW ATD PER TEAM'!$D$33,'NEW ATD PER TEAM'!$D36),'[1]Total 2'!AD:AD)</f>
        <v>#VALUE!</v>
      </c>
      <c r="AB36" s="208"/>
      <c r="AC36" s="206" t="e">
        <f>J36*1854*40</f>
        <v>#VALUE!</v>
      </c>
      <c r="AD36" s="25" t="e">
        <f t="shared" si="54"/>
        <v>#VALUE!</v>
      </c>
      <c r="AE36" s="104" t="str">
        <f t="shared" si="55"/>
        <v/>
      </c>
    </row>
    <row r="37" spans="2:41" ht="15.75" customHeight="1" thickBot="1">
      <c r="B37" s="276">
        <v>4</v>
      </c>
      <c r="C37" s="955"/>
      <c r="D37" s="209" t="s">
        <v>85</v>
      </c>
      <c r="E37" s="210"/>
      <c r="F37" s="211"/>
      <c r="G37" s="212">
        <v>8</v>
      </c>
      <c r="H37" s="213"/>
      <c r="I37" s="214">
        <f t="shared" si="48"/>
        <v>0</v>
      </c>
      <c r="J37" s="215" t="e">
        <f>SUMIF('[1]Total 2'!$I:$I,_xlfn.TEXTJOIN(" ",TRUE,'NEW ATD PER TEAM'!$D$33,'NEW ATD PER TEAM'!$D37),'[1]Total 2'!L:L)</f>
        <v>#VALUE!</v>
      </c>
      <c r="K37" s="112" t="e">
        <f>J37*68/40</f>
        <v>#VALUE!</v>
      </c>
      <c r="L37" s="190" t="e">
        <f>SUMIF('[1]Total 2'!$I:$I,_xlfn.TEXTJOIN(" ",TRUE,'NEW ATD PER TEAM'!$D$33,'NEW ATD PER TEAM'!$D37),'[1]Total 2'!O:O)</f>
        <v>#VALUE!</v>
      </c>
      <c r="M37" s="216">
        <f t="shared" si="49"/>
        <v>0</v>
      </c>
      <c r="N37" s="192" t="e">
        <f>J37*68/24</f>
        <v>#VALUE!</v>
      </c>
      <c r="O37" s="110" t="e">
        <f>SUMIF('[1]Total 2'!$I:$I,_xlfn.TEXTJOIN(" ",TRUE,'NEW ATD PER TEAM'!$D$33,'NEW ATD PER TEAM'!$D37),'[1]Total 2'!R:R)</f>
        <v>#VALUE!</v>
      </c>
      <c r="P37" s="216">
        <f t="shared" si="50"/>
        <v>0</v>
      </c>
      <c r="Q37" s="192" t="e">
        <f>J37*68/24</f>
        <v>#VALUE!</v>
      </c>
      <c r="R37" s="110" t="e">
        <f>SUMIF('[1]Total 2'!$I:$I,_xlfn.TEXTJOIN(" ",TRUE,'NEW ATD PER TEAM'!$D$33,'NEW ATD PER TEAM'!$D37),'[1]Total 2'!U:U)</f>
        <v>#VALUE!</v>
      </c>
      <c r="S37" s="216">
        <f t="shared" si="51"/>
        <v>0</v>
      </c>
      <c r="T37" s="192" t="e">
        <f>J37*68/12</f>
        <v>#VALUE!</v>
      </c>
      <c r="U37" s="110" t="e">
        <f>SUMIF('[1]Total 2'!$I:$I,_xlfn.TEXTJOIN(" ",TRUE,'NEW ATD PER TEAM'!$D$33,'NEW ATD PER TEAM'!$D37),'[1]Total 2'!X:X)</f>
        <v>#VALUE!</v>
      </c>
      <c r="V37" s="216">
        <f t="shared" si="52"/>
        <v>0</v>
      </c>
      <c r="W37" s="192" t="e">
        <f>J37*68/12</f>
        <v>#VALUE!</v>
      </c>
      <c r="X37" s="110" t="e">
        <f>SUMIF('[1]Total 2'!$I:$I,_xlfn.TEXTJOIN(" ",TRUE,'NEW ATD PER TEAM'!$D$33,'NEW ATD PER TEAM'!$D37),'[1]Total 2'!AA:AA)</f>
        <v>#VALUE!</v>
      </c>
      <c r="Y37" s="216">
        <f t="shared" si="53"/>
        <v>0</v>
      </c>
      <c r="Z37" s="217" t="e">
        <f>SUMIF('[1]Total 2'!$I:$I,_xlfn.TEXTJOIN(" ",TRUE,'NEW ATD PER TEAM'!$D$33,'NEW ATD PER TEAM'!$D37),'[1]Total 2'!AC:AC)</f>
        <v>#VALUE!</v>
      </c>
      <c r="AA37" s="218" t="e">
        <f>SUMIF('[1]Total 2'!$I:$I,_xlfn.TEXTJOIN(" ",TRUE,'NEW ATD PER TEAM'!$D$33,'NEW ATD PER TEAM'!$D37),'[1]Total 2'!AD:AD)</f>
        <v>#VALUE!</v>
      </c>
      <c r="AB37" s="219"/>
      <c r="AC37" s="267" t="e">
        <f>J37*1854*40</f>
        <v>#VALUE!</v>
      </c>
      <c r="AD37" s="220" t="e">
        <f t="shared" si="54"/>
        <v>#VALUE!</v>
      </c>
      <c r="AE37" s="268" t="str">
        <f t="shared" si="55"/>
        <v/>
      </c>
    </row>
    <row r="38" spans="2:41" ht="16.2" thickBot="1">
      <c r="B38" s="277"/>
      <c r="C38" s="278"/>
      <c r="D38" s="279"/>
      <c r="E38" s="280" t="s">
        <v>70</v>
      </c>
      <c r="F38" s="271"/>
      <c r="G38" s="224">
        <f>SUM(G34:G37)</f>
        <v>32</v>
      </c>
      <c r="H38" s="224">
        <f>SUM(H34:H37)</f>
        <v>14</v>
      </c>
      <c r="I38" s="225">
        <f t="shared" si="48"/>
        <v>0.4375</v>
      </c>
      <c r="J38" s="226" t="e">
        <f>SUM(J34:J37)</f>
        <v>#VALUE!</v>
      </c>
      <c r="K38" s="262" t="e">
        <f t="shared" ref="K38:AD38" si="56">SUM(K34:K37)</f>
        <v>#VALUE!</v>
      </c>
      <c r="L38" s="272" t="e">
        <f t="shared" si="56"/>
        <v>#VALUE!</v>
      </c>
      <c r="M38" s="273">
        <f t="shared" si="49"/>
        <v>0</v>
      </c>
      <c r="N38" s="226" t="e">
        <f t="shared" ref="N38:O38" si="57">SUM(N34:N37)</f>
        <v>#VALUE!</v>
      </c>
      <c r="O38" s="274" t="e">
        <f t="shared" si="57"/>
        <v>#VALUE!</v>
      </c>
      <c r="P38" s="273">
        <f t="shared" si="50"/>
        <v>0</v>
      </c>
      <c r="Q38" s="226" t="e">
        <f t="shared" ref="Q38:R38" si="58">SUM(Q34:Q37)</f>
        <v>#VALUE!</v>
      </c>
      <c r="R38" s="274" t="e">
        <f t="shared" si="58"/>
        <v>#VALUE!</v>
      </c>
      <c r="S38" s="273">
        <f t="shared" si="51"/>
        <v>0</v>
      </c>
      <c r="T38" s="226" t="e">
        <f t="shared" ref="T38:U38" si="59">SUM(T34:T37)</f>
        <v>#VALUE!</v>
      </c>
      <c r="U38" s="274" t="e">
        <f t="shared" si="59"/>
        <v>#VALUE!</v>
      </c>
      <c r="V38" s="273">
        <f t="shared" si="52"/>
        <v>0</v>
      </c>
      <c r="W38" s="226" t="e">
        <f t="shared" ref="W38:X38" si="60">SUM(W34:W37)</f>
        <v>#VALUE!</v>
      </c>
      <c r="X38" s="274" t="e">
        <f t="shared" si="60"/>
        <v>#VALUE!</v>
      </c>
      <c r="Y38" s="273">
        <f t="shared" si="53"/>
        <v>0</v>
      </c>
      <c r="Z38" s="232" t="e">
        <f>SUM(Z34:Z37)</f>
        <v>#VALUE!</v>
      </c>
      <c r="AA38" s="232" t="e">
        <f>SUM(AA34:AA37)</f>
        <v>#VALUE!</v>
      </c>
      <c r="AB38" s="233">
        <f t="shared" si="56"/>
        <v>0</v>
      </c>
      <c r="AC38" s="234" t="e">
        <f t="shared" si="56"/>
        <v>#VALUE!</v>
      </c>
      <c r="AD38" s="235" t="e">
        <f t="shared" si="56"/>
        <v>#VALUE!</v>
      </c>
      <c r="AE38" s="236" t="str">
        <f t="shared" si="55"/>
        <v/>
      </c>
    </row>
    <row r="39" spans="2:41" ht="16.2" thickBot="1">
      <c r="B39" s="281"/>
      <c r="C39" s="948" t="s">
        <v>95</v>
      </c>
      <c r="D39" s="170" t="s">
        <v>96</v>
      </c>
      <c r="E39" s="239"/>
      <c r="F39" s="172" t="s">
        <v>43</v>
      </c>
      <c r="G39" s="239"/>
      <c r="H39" s="239"/>
      <c r="I39" s="240"/>
      <c r="J39" s="239"/>
      <c r="K39" s="239"/>
      <c r="L39" s="239"/>
      <c r="M39" s="240"/>
      <c r="N39" s="241"/>
      <c r="O39" s="241"/>
      <c r="P39" s="242"/>
      <c r="Q39" s="241"/>
      <c r="R39" s="241"/>
      <c r="S39" s="242"/>
      <c r="T39" s="241"/>
      <c r="U39" s="241"/>
      <c r="V39" s="242"/>
      <c r="W39" s="241"/>
      <c r="X39" s="241"/>
      <c r="Y39" s="242"/>
      <c r="Z39" s="245"/>
      <c r="AA39" s="180"/>
      <c r="AB39" s="180"/>
      <c r="AC39" s="263"/>
      <c r="AD39" s="263"/>
      <c r="AE39" s="264"/>
    </row>
    <row r="40" spans="2:41" ht="15.75" customHeight="1">
      <c r="B40" s="182">
        <v>1</v>
      </c>
      <c r="C40" s="949"/>
      <c r="D40" s="97" t="s">
        <v>79</v>
      </c>
      <c r="E40" s="282" t="s">
        <v>97</v>
      </c>
      <c r="F40" s="282"/>
      <c r="G40" s="185">
        <v>8</v>
      </c>
      <c r="H40" s="186">
        <v>8</v>
      </c>
      <c r="I40" s="187">
        <f>IFERROR(H40/G40,"")</f>
        <v>1</v>
      </c>
      <c r="J40" s="188" t="e">
        <f>SUMIF('[1]Total 2'!$I:$I,_xlfn.TEXTJOIN(" ",TRUE,'NEW ATD PER TEAM'!$D$39,'NEW ATD PER TEAM'!$D40),'[1]Total 2'!L:L)</f>
        <v>#VALUE!</v>
      </c>
      <c r="K40" s="189" t="e">
        <f>J40*68/40</f>
        <v>#VALUE!</v>
      </c>
      <c r="L40" s="190" t="e">
        <f>SUMIF('[1]Total 2'!$I:$I,_xlfn.TEXTJOIN(" ",TRUE,'NEW ATD PER TEAM'!$D$39,'NEW ATD PER TEAM'!$D40),'[1]Total 2'!O:O)</f>
        <v>#VALUE!</v>
      </c>
      <c r="M40" s="191">
        <f>IFERROR(L40/K40,0)</f>
        <v>0</v>
      </c>
      <c r="N40" s="192" t="e">
        <f>J40*68/24</f>
        <v>#VALUE!</v>
      </c>
      <c r="O40" s="193" t="e">
        <f>SUMIF('[1]Total 2'!$I:$I,_xlfn.TEXTJOIN(" ",TRUE,'NEW ATD PER TEAM'!$D$39,'NEW ATD PER TEAM'!$D40),'[1]Total 2'!R:R)</f>
        <v>#VALUE!</v>
      </c>
      <c r="P40" s="191">
        <f>IFERROR(O40/N40,0)</f>
        <v>0</v>
      </c>
      <c r="Q40" s="192" t="e">
        <f>J40*68/24</f>
        <v>#VALUE!</v>
      </c>
      <c r="R40" s="193" t="e">
        <f>SUMIF('[1]Total 2'!$I:$I,_xlfn.TEXTJOIN(" ",TRUE,'NEW ATD PER TEAM'!$D$39,'NEW ATD PER TEAM'!$D40),'[1]Total 2'!U:U)</f>
        <v>#VALUE!</v>
      </c>
      <c r="S40" s="191">
        <f>IFERROR(R40/Q40,0)</f>
        <v>0</v>
      </c>
      <c r="T40" s="192" t="e">
        <f>J40*68/12</f>
        <v>#VALUE!</v>
      </c>
      <c r="U40" s="193" t="e">
        <f>SUMIF('[1]Total 2'!$I:$I,_xlfn.TEXTJOIN(" ",TRUE,'NEW ATD PER TEAM'!$D$39,'NEW ATD PER TEAM'!$D40),'[1]Total 2'!X:X)</f>
        <v>#VALUE!</v>
      </c>
      <c r="V40" s="191">
        <f>IFERROR(U40/T40,0)</f>
        <v>0</v>
      </c>
      <c r="W40" s="192" t="e">
        <f>J40*68/12</f>
        <v>#VALUE!</v>
      </c>
      <c r="X40" s="193" t="e">
        <f>SUMIF('[1]Total 2'!$I:$I,_xlfn.TEXTJOIN(" ",TRUE,'NEW ATD PER TEAM'!$D$39,'NEW ATD PER TEAM'!$D40),'[1]Total 2'!AA:AA)</f>
        <v>#VALUE!</v>
      </c>
      <c r="Y40" s="191">
        <f>IFERROR(X40/W40,0)</f>
        <v>0</v>
      </c>
      <c r="Z40" s="197" t="e">
        <f>SUMIF('[1]Total 2'!$I:$I,_xlfn.TEXTJOIN(" ",TRUE,'NEW ATD PER TEAM'!$D$39,'NEW ATD PER TEAM'!$D40),'[1]Total 2'!AC:AC)</f>
        <v>#VALUE!</v>
      </c>
      <c r="AA40" s="253" t="e">
        <f>SUMIF('[1]Total 2'!$I:$I,_xlfn.TEXTJOIN(" ",TRUE,'NEW ATD PER TEAM'!$D$39,'NEW ATD PER TEAM'!$D40),'[1]Total 2'!AD:AD)</f>
        <v>#VALUE!</v>
      </c>
      <c r="AB40" s="196"/>
      <c r="AC40" s="197" t="e">
        <f>J40*1854*40</f>
        <v>#VALUE!</v>
      </c>
      <c r="AD40" s="198" t="e">
        <f>AA40</f>
        <v>#VALUE!</v>
      </c>
      <c r="AE40" s="199" t="str">
        <f>IFERROR(AD40/AC40,"")</f>
        <v/>
      </c>
    </row>
    <row r="41" spans="2:41" ht="15.75" customHeight="1">
      <c r="B41" s="182">
        <v>2</v>
      </c>
      <c r="C41" s="949"/>
      <c r="D41" s="57" t="s">
        <v>81</v>
      </c>
      <c r="E41" s="282" t="s">
        <v>98</v>
      </c>
      <c r="F41" s="282"/>
      <c r="G41" s="202">
        <v>8</v>
      </c>
      <c r="H41" s="203">
        <v>8</v>
      </c>
      <c r="I41" s="204">
        <f t="shared" ref="I41:I44" si="61">IFERROR(H41/G41,"")</f>
        <v>1</v>
      </c>
      <c r="J41" s="21" t="e">
        <f>SUMIF('[1]Total 2'!$I:$I,_xlfn.TEXTJOIN(" ",TRUE,'NEW ATD PER TEAM'!$D$39,'NEW ATD PER TEAM'!$D41),'[1]Total 2'!L:L)</f>
        <v>#VALUE!</v>
      </c>
      <c r="K41" s="105" t="e">
        <f>J41*68/40</f>
        <v>#VALUE!</v>
      </c>
      <c r="L41" s="190" t="e">
        <f>SUMIF('[1]Total 2'!$I:$I,_xlfn.TEXTJOIN(" ",TRUE,'NEW ATD PER TEAM'!$D$39,'NEW ATD PER TEAM'!$D41),'[1]Total 2'!O:O)</f>
        <v>#VALUE!</v>
      </c>
      <c r="M41" s="205">
        <f t="shared" ref="M41:M44" si="62">IFERROR(L41/K41,0)</f>
        <v>0</v>
      </c>
      <c r="N41" s="18" t="e">
        <f>J41*68/24</f>
        <v>#VALUE!</v>
      </c>
      <c r="O41" s="103" t="e">
        <f>SUMIF('[1]Total 2'!$I:$I,_xlfn.TEXTJOIN(" ",TRUE,'NEW ATD PER TEAM'!$D$39,'NEW ATD PER TEAM'!$D41),'[1]Total 2'!R:R)</f>
        <v>#VALUE!</v>
      </c>
      <c r="P41" s="205">
        <f t="shared" ref="P41:P44" si="63">IFERROR(O41/N41,0)</f>
        <v>0</v>
      </c>
      <c r="Q41" s="18" t="e">
        <f>J41*68/24</f>
        <v>#VALUE!</v>
      </c>
      <c r="R41" s="103" t="e">
        <f>SUMIF('[1]Total 2'!$I:$I,_xlfn.TEXTJOIN(" ",TRUE,'NEW ATD PER TEAM'!$D$39,'NEW ATD PER TEAM'!$D41),'[1]Total 2'!U:U)</f>
        <v>#VALUE!</v>
      </c>
      <c r="S41" s="205">
        <f t="shared" ref="S41:S44" si="64">IFERROR(R41/Q41,0)</f>
        <v>0</v>
      </c>
      <c r="T41" s="18" t="e">
        <f>J41*68/12</f>
        <v>#VALUE!</v>
      </c>
      <c r="U41" s="103" t="e">
        <f>SUMIF('[1]Total 2'!$I:$I,_xlfn.TEXTJOIN(" ",TRUE,'NEW ATD PER TEAM'!$D$39,'NEW ATD PER TEAM'!$D41),'[1]Total 2'!X:X)</f>
        <v>#VALUE!</v>
      </c>
      <c r="V41" s="205">
        <f t="shared" ref="V41:V44" si="65">IFERROR(U41/T41,0)</f>
        <v>0</v>
      </c>
      <c r="W41" s="18" t="e">
        <f>J41*68/12</f>
        <v>#VALUE!</v>
      </c>
      <c r="X41" s="103" t="e">
        <f>SUMIF('[1]Total 2'!$I:$I,_xlfn.TEXTJOIN(" ",TRUE,'NEW ATD PER TEAM'!$D$39,'NEW ATD PER TEAM'!$D41),'[1]Total 2'!AA:AA)</f>
        <v>#VALUE!</v>
      </c>
      <c r="Y41" s="205">
        <f t="shared" ref="Y41:Y44" si="66">IFERROR(X41/W41,0)</f>
        <v>0</v>
      </c>
      <c r="Z41" s="206" t="e">
        <f>SUMIF('[1]Total 2'!$I:$I,_xlfn.TEXTJOIN(" ",TRUE,'NEW ATD PER TEAM'!$D$39,'NEW ATD PER TEAM'!$D41),'[1]Total 2'!AC:AC)</f>
        <v>#VALUE!</v>
      </c>
      <c r="AA41" s="207" t="e">
        <f>SUMIF('[1]Total 2'!$I:$I,_xlfn.TEXTJOIN(" ",TRUE,'NEW ATD PER TEAM'!$D$39,'NEW ATD PER TEAM'!$D41),'[1]Total 2'!AD:AD)</f>
        <v>#VALUE!</v>
      </c>
      <c r="AB41" s="208"/>
      <c r="AC41" s="206" t="e">
        <f>J41*1854*40</f>
        <v>#VALUE!</v>
      </c>
      <c r="AD41" s="25" t="e">
        <f t="shared" ref="AD41:AD43" si="67">AA41</f>
        <v>#VALUE!</v>
      </c>
      <c r="AE41" s="104" t="str">
        <f t="shared" ref="AE41:AE44" si="68">IFERROR(AD41/AC41,"")</f>
        <v/>
      </c>
    </row>
    <row r="42" spans="2:41" ht="15.75" customHeight="1">
      <c r="B42" s="182">
        <v>3</v>
      </c>
      <c r="C42" s="949"/>
      <c r="D42" s="57" t="s">
        <v>83</v>
      </c>
      <c r="E42" s="254"/>
      <c r="F42" s="201"/>
      <c r="G42" s="202">
        <v>8</v>
      </c>
      <c r="H42" s="203">
        <v>7</v>
      </c>
      <c r="I42" s="204">
        <f t="shared" si="61"/>
        <v>0.875</v>
      </c>
      <c r="J42" s="21" t="e">
        <f>SUMIF('[1]Total 2'!$I:$I,_xlfn.TEXTJOIN(" ",TRUE,'NEW ATD PER TEAM'!$D$39,'NEW ATD PER TEAM'!$D42),'[1]Total 2'!L:L)</f>
        <v>#VALUE!</v>
      </c>
      <c r="K42" s="105" t="e">
        <f>J42*68/40</f>
        <v>#VALUE!</v>
      </c>
      <c r="L42" s="190" t="e">
        <f>SUMIF('[1]Total 2'!$I:$I,_xlfn.TEXTJOIN(" ",TRUE,'NEW ATD PER TEAM'!$D$39,'NEW ATD PER TEAM'!$D42),'[1]Total 2'!O:O)</f>
        <v>#VALUE!</v>
      </c>
      <c r="M42" s="205">
        <f t="shared" si="62"/>
        <v>0</v>
      </c>
      <c r="N42" s="18" t="e">
        <f>J42*68/24</f>
        <v>#VALUE!</v>
      </c>
      <c r="O42" s="103" t="e">
        <f>SUMIF('[1]Total 2'!$I:$I,_xlfn.TEXTJOIN(" ",TRUE,'NEW ATD PER TEAM'!$D$39,'NEW ATD PER TEAM'!$D42),'[1]Total 2'!R:R)</f>
        <v>#VALUE!</v>
      </c>
      <c r="P42" s="205">
        <f t="shared" si="63"/>
        <v>0</v>
      </c>
      <c r="Q42" s="18" t="e">
        <f>J42*68/24</f>
        <v>#VALUE!</v>
      </c>
      <c r="R42" s="103" t="e">
        <f>SUMIF('[1]Total 2'!$I:$I,_xlfn.TEXTJOIN(" ",TRUE,'NEW ATD PER TEAM'!$D$39,'NEW ATD PER TEAM'!$D42),'[1]Total 2'!U:U)</f>
        <v>#VALUE!</v>
      </c>
      <c r="S42" s="205">
        <f t="shared" si="64"/>
        <v>0</v>
      </c>
      <c r="T42" s="18" t="e">
        <f>J42*68/12</f>
        <v>#VALUE!</v>
      </c>
      <c r="U42" s="103" t="e">
        <f>SUMIF('[1]Total 2'!$I:$I,_xlfn.TEXTJOIN(" ",TRUE,'NEW ATD PER TEAM'!$D$39,'NEW ATD PER TEAM'!$D42),'[1]Total 2'!X:X)</f>
        <v>#VALUE!</v>
      </c>
      <c r="V42" s="205">
        <f t="shared" si="65"/>
        <v>0</v>
      </c>
      <c r="W42" s="18" t="e">
        <f>J42*68/12</f>
        <v>#VALUE!</v>
      </c>
      <c r="X42" s="103" t="e">
        <f>SUMIF('[1]Total 2'!$I:$I,_xlfn.TEXTJOIN(" ",TRUE,'NEW ATD PER TEAM'!$D$39,'NEW ATD PER TEAM'!$D42),'[1]Total 2'!AA:AA)</f>
        <v>#VALUE!</v>
      </c>
      <c r="Y42" s="205">
        <f t="shared" si="66"/>
        <v>0</v>
      </c>
      <c r="Z42" s="206" t="e">
        <f>SUMIF('[1]Total 2'!$I:$I,_xlfn.TEXTJOIN(" ",TRUE,'NEW ATD PER TEAM'!$D$39,'NEW ATD PER TEAM'!$D42),'[1]Total 2'!AC:AC)</f>
        <v>#VALUE!</v>
      </c>
      <c r="AA42" s="207" t="e">
        <f>SUMIF('[1]Total 2'!$I:$I,_xlfn.TEXTJOIN(" ",TRUE,'NEW ATD PER TEAM'!$D$39,'NEW ATD PER TEAM'!$D42),'[1]Total 2'!AD:AD)</f>
        <v>#VALUE!</v>
      </c>
      <c r="AB42" s="208"/>
      <c r="AC42" s="206" t="e">
        <f>J42*1854*40</f>
        <v>#VALUE!</v>
      </c>
      <c r="AD42" s="25" t="e">
        <f t="shared" si="67"/>
        <v>#VALUE!</v>
      </c>
      <c r="AE42" s="104" t="str">
        <f t="shared" si="68"/>
        <v/>
      </c>
    </row>
    <row r="43" spans="2:41" ht="15.75" customHeight="1" thickBot="1">
      <c r="B43" s="182">
        <v>4</v>
      </c>
      <c r="C43" s="949"/>
      <c r="D43" s="209" t="s">
        <v>85</v>
      </c>
      <c r="E43" s="210"/>
      <c r="F43" s="211"/>
      <c r="G43" s="212">
        <v>8</v>
      </c>
      <c r="H43" s="213"/>
      <c r="I43" s="214">
        <f t="shared" si="61"/>
        <v>0</v>
      </c>
      <c r="J43" s="215" t="e">
        <f>SUMIF('[1]Total 2'!$I:$I,_xlfn.TEXTJOIN(" ",TRUE,'NEW ATD PER TEAM'!$D$39,'NEW ATD PER TEAM'!$D43),'[1]Total 2'!L:L)</f>
        <v>#VALUE!</v>
      </c>
      <c r="K43" s="112" t="e">
        <f>J43*68/40</f>
        <v>#VALUE!</v>
      </c>
      <c r="L43" s="190" t="e">
        <f>SUMIF('[1]Total 2'!$I:$I,_xlfn.TEXTJOIN(" ",TRUE,'NEW ATD PER TEAM'!$D$39,'NEW ATD PER TEAM'!$D43),'[1]Total 2'!O:O)</f>
        <v>#VALUE!</v>
      </c>
      <c r="M43" s="216">
        <f t="shared" si="62"/>
        <v>0</v>
      </c>
      <c r="N43" s="109" t="e">
        <f>J43*68/24</f>
        <v>#VALUE!</v>
      </c>
      <c r="O43" s="110" t="e">
        <f>SUMIF('[1]Total 2'!$I:$I,_xlfn.TEXTJOIN(" ",TRUE,'NEW ATD PER TEAM'!$D$39,'NEW ATD PER TEAM'!$D43),'[1]Total 2'!R:R)</f>
        <v>#VALUE!</v>
      </c>
      <c r="P43" s="216">
        <f t="shared" si="63"/>
        <v>0</v>
      </c>
      <c r="Q43" s="109" t="e">
        <f>J43*68/24</f>
        <v>#VALUE!</v>
      </c>
      <c r="R43" s="110" t="e">
        <f>SUMIF('[1]Total 2'!$I:$I,_xlfn.TEXTJOIN(" ",TRUE,'NEW ATD PER TEAM'!$D$39,'NEW ATD PER TEAM'!$D43),'[1]Total 2'!U:U)</f>
        <v>#VALUE!</v>
      </c>
      <c r="S43" s="216">
        <f t="shared" si="64"/>
        <v>0</v>
      </c>
      <c r="T43" s="109" t="e">
        <f>J43*68/12</f>
        <v>#VALUE!</v>
      </c>
      <c r="U43" s="110" t="e">
        <f>SUMIF('[1]Total 2'!$I:$I,_xlfn.TEXTJOIN(" ",TRUE,'NEW ATD PER TEAM'!$D$39,'NEW ATD PER TEAM'!$D43),'[1]Total 2'!X:X)</f>
        <v>#VALUE!</v>
      </c>
      <c r="V43" s="216">
        <f t="shared" si="65"/>
        <v>0</v>
      </c>
      <c r="W43" s="109" t="e">
        <f>J43*68/12</f>
        <v>#VALUE!</v>
      </c>
      <c r="X43" s="110" t="e">
        <f>SUMIF('[1]Total 2'!$I:$I,_xlfn.TEXTJOIN(" ",TRUE,'NEW ATD PER TEAM'!$D$39,'NEW ATD PER TEAM'!$D43),'[1]Total 2'!AA:AA)</f>
        <v>#VALUE!</v>
      </c>
      <c r="Y43" s="216">
        <f t="shared" si="66"/>
        <v>0</v>
      </c>
      <c r="Z43" s="217" t="e">
        <f>SUMIF('[1]Total 2'!$I:$I,_xlfn.TEXTJOIN(" ",TRUE,'NEW ATD PER TEAM'!$D$39,'NEW ATD PER TEAM'!$D43),'[1]Total 2'!AC:AC)</f>
        <v>#VALUE!</v>
      </c>
      <c r="AA43" s="218" t="e">
        <f>SUMIF('[1]Total 2'!$I:$I,_xlfn.TEXTJOIN(" ",TRUE,'NEW ATD PER TEAM'!$D$39,'NEW ATD PER TEAM'!$D43),'[1]Total 2'!AD:AD)</f>
        <v>#VALUE!</v>
      </c>
      <c r="AB43" s="219"/>
      <c r="AC43" s="267" t="e">
        <f>J43*1854*40</f>
        <v>#VALUE!</v>
      </c>
      <c r="AD43" s="220" t="e">
        <f t="shared" si="67"/>
        <v>#VALUE!</v>
      </c>
      <c r="AE43" s="268" t="str">
        <f t="shared" si="68"/>
        <v/>
      </c>
    </row>
    <row r="44" spans="2:41" ht="16.2" thickBot="1">
      <c r="B44" s="182"/>
      <c r="C44" s="949"/>
      <c r="D44" s="221"/>
      <c r="E44" s="283" t="s">
        <v>70</v>
      </c>
      <c r="F44" s="284"/>
      <c r="G44" s="224">
        <f>SUM(G40:G43)</f>
        <v>32</v>
      </c>
      <c r="H44" s="224">
        <f>SUM(H40:H43)</f>
        <v>23</v>
      </c>
      <c r="I44" s="225">
        <f t="shared" si="61"/>
        <v>0.71875</v>
      </c>
      <c r="J44" s="226" t="e">
        <f>SUM(J40:J43)</f>
        <v>#VALUE!</v>
      </c>
      <c r="K44" s="227" t="e">
        <f t="shared" ref="K44:L44" si="69">SUM(K40:K43)</f>
        <v>#VALUE!</v>
      </c>
      <c r="L44" s="255" t="e">
        <f t="shared" si="69"/>
        <v>#VALUE!</v>
      </c>
      <c r="M44" s="229">
        <f t="shared" si="62"/>
        <v>0</v>
      </c>
      <c r="N44" s="230" t="e">
        <f t="shared" ref="N44:O44" si="70">SUM(N40:N43)</f>
        <v>#VALUE!</v>
      </c>
      <c r="O44" s="231" t="e">
        <f t="shared" si="70"/>
        <v>#VALUE!</v>
      </c>
      <c r="P44" s="229">
        <f t="shared" si="63"/>
        <v>0</v>
      </c>
      <c r="Q44" s="230" t="e">
        <f t="shared" ref="Q44:R44" si="71">SUM(Q40:Q43)</f>
        <v>#VALUE!</v>
      </c>
      <c r="R44" s="231" t="e">
        <f t="shared" si="71"/>
        <v>#VALUE!</v>
      </c>
      <c r="S44" s="229">
        <f t="shared" si="64"/>
        <v>0</v>
      </c>
      <c r="T44" s="230" t="e">
        <f t="shared" ref="T44:U44" si="72">SUM(T40:T43)</f>
        <v>#VALUE!</v>
      </c>
      <c r="U44" s="231" t="e">
        <f t="shared" si="72"/>
        <v>#VALUE!</v>
      </c>
      <c r="V44" s="229">
        <f t="shared" si="65"/>
        <v>0</v>
      </c>
      <c r="W44" s="230" t="e">
        <f t="shared" ref="W44:X44" si="73">SUM(W40:W43)</f>
        <v>#VALUE!</v>
      </c>
      <c r="X44" s="231" t="e">
        <f t="shared" si="73"/>
        <v>#VALUE!</v>
      </c>
      <c r="Y44" s="229">
        <f t="shared" si="66"/>
        <v>0</v>
      </c>
      <c r="Z44" s="232" t="e">
        <f>SUM(Z40:Z43)</f>
        <v>#VALUE!</v>
      </c>
      <c r="AA44" s="232" t="e">
        <f>SUM(AA40:AA43)</f>
        <v>#VALUE!</v>
      </c>
      <c r="AB44" s="233">
        <f t="shared" ref="AB44:AD44" si="74">SUM(AB40:AB43)</f>
        <v>0</v>
      </c>
      <c r="AC44" s="234" t="e">
        <f t="shared" si="74"/>
        <v>#VALUE!</v>
      </c>
      <c r="AD44" s="235" t="e">
        <f t="shared" si="74"/>
        <v>#VALUE!</v>
      </c>
      <c r="AE44" s="236" t="str">
        <f t="shared" si="68"/>
        <v/>
      </c>
    </row>
    <row r="45" spans="2:41" ht="16.2" thickBot="1">
      <c r="B45" s="182"/>
      <c r="C45" s="948"/>
      <c r="D45" s="170" t="s">
        <v>44</v>
      </c>
      <c r="E45" s="239"/>
      <c r="F45" s="172" t="s">
        <v>45</v>
      </c>
      <c r="G45" s="239"/>
      <c r="H45" s="239"/>
      <c r="I45" s="240"/>
      <c r="J45" s="239"/>
      <c r="K45" s="239"/>
      <c r="L45" s="239"/>
      <c r="M45" s="240"/>
      <c r="N45" s="241"/>
      <c r="O45" s="241"/>
      <c r="P45" s="242"/>
      <c r="Q45" s="241"/>
      <c r="R45" s="241"/>
      <c r="S45" s="242"/>
      <c r="T45" s="241"/>
      <c r="U45" s="241"/>
      <c r="V45" s="242"/>
      <c r="W45" s="241"/>
      <c r="X45" s="241"/>
      <c r="Y45" s="242"/>
      <c r="Z45" s="245"/>
      <c r="AA45" s="180"/>
      <c r="AB45" s="180"/>
      <c r="AC45" s="263"/>
      <c r="AD45" s="263"/>
      <c r="AE45" s="264"/>
    </row>
    <row r="46" spans="2:41" ht="15.75" customHeight="1">
      <c r="B46" s="182">
        <v>1</v>
      </c>
      <c r="C46" s="949"/>
      <c r="D46" s="97" t="s">
        <v>79</v>
      </c>
      <c r="E46" s="265" t="s">
        <v>99</v>
      </c>
      <c r="F46" s="184"/>
      <c r="G46" s="185">
        <v>8</v>
      </c>
      <c r="H46" s="186">
        <v>11</v>
      </c>
      <c r="I46" s="187">
        <f>IFERROR(H46/G46,"")</f>
        <v>1.375</v>
      </c>
      <c r="J46" s="188" t="e">
        <f>SUMIF('[1]Total 2'!$I:$I,_xlfn.TEXTJOIN(" ",TRUE,'NEW ATD PER TEAM'!$D$45,'NEW ATD PER TEAM'!$D46),'[1]Total 2'!L:L)</f>
        <v>#VALUE!</v>
      </c>
      <c r="K46" s="189" t="e">
        <f>J46*68/40</f>
        <v>#VALUE!</v>
      </c>
      <c r="L46" s="190" t="e">
        <f>SUMIF('[1]Total 2'!$I:$I,_xlfn.TEXTJOIN(" ",TRUE,'NEW ATD PER TEAM'!$D$45,'NEW ATD PER TEAM'!$D46),'[1]Total 2'!O:O)</f>
        <v>#VALUE!</v>
      </c>
      <c r="M46" s="191">
        <f>IFERROR(L46/K46,0)</f>
        <v>0</v>
      </c>
      <c r="N46" s="192" t="e">
        <f>J46*68/24</f>
        <v>#VALUE!</v>
      </c>
      <c r="O46" s="193" t="e">
        <f>SUMIF('[1]Total 2'!$I:$I,_xlfn.TEXTJOIN(" ",TRUE,'NEW ATD PER TEAM'!$D$45,'NEW ATD PER TEAM'!$D46),'[1]Total 2'!R:R)</f>
        <v>#VALUE!</v>
      </c>
      <c r="P46" s="191">
        <f>IFERROR(O46/N46,0)</f>
        <v>0</v>
      </c>
      <c r="Q46" s="192" t="e">
        <f>J46*68/24</f>
        <v>#VALUE!</v>
      </c>
      <c r="R46" s="193" t="e">
        <f>SUMIF('[1]Total 2'!$I:$I,_xlfn.TEXTJOIN(" ",TRUE,'NEW ATD PER TEAM'!$D$45,'NEW ATD PER TEAM'!$D46),'[1]Total 2'!U:U)</f>
        <v>#VALUE!</v>
      </c>
      <c r="S46" s="191">
        <f>IFERROR(R46/Q46,0)</f>
        <v>0</v>
      </c>
      <c r="T46" s="192" t="e">
        <f>J46*68/12</f>
        <v>#VALUE!</v>
      </c>
      <c r="U46" s="193" t="e">
        <f>SUMIF('[1]Total 2'!$I:$I,_xlfn.TEXTJOIN(" ",TRUE,'NEW ATD PER TEAM'!$D$45,'NEW ATD PER TEAM'!$D46),'[1]Total 2'!X:X)</f>
        <v>#VALUE!</v>
      </c>
      <c r="V46" s="191">
        <f>IFERROR(U46/T46,0)</f>
        <v>0</v>
      </c>
      <c r="W46" s="192" t="e">
        <f>J46*68/12</f>
        <v>#VALUE!</v>
      </c>
      <c r="X46" s="193" t="e">
        <f>SUMIF('[1]Total 2'!$I:$I,_xlfn.TEXTJOIN(" ",TRUE,'NEW ATD PER TEAM'!$D$45,'NEW ATD PER TEAM'!$D46),'[1]Total 2'!AA:AA)</f>
        <v>#VALUE!</v>
      </c>
      <c r="Y46" s="285">
        <f>IFERROR(X46/W46,0)</f>
        <v>0</v>
      </c>
      <c r="Z46" s="286" t="e">
        <f>SUMIF('[1]Total 2'!$I:$I,_xlfn.TEXTJOIN(" ",TRUE,'NEW ATD PER TEAM'!$D$45,'NEW ATD PER TEAM'!$D46),'[1]Total 2'!AC:AC)</f>
        <v>#VALUE!</v>
      </c>
      <c r="AA46" s="253" t="e">
        <f>SUMIF('[1]Total 2'!$I:$I,_xlfn.TEXTJOIN(" ",TRUE,'NEW ATD PER TEAM'!$D$45,'NEW ATD PER TEAM'!$D46),'[1]Total 2'!AD:AD)</f>
        <v>#VALUE!</v>
      </c>
      <c r="AB46" s="196"/>
      <c r="AC46" s="197" t="e">
        <f>J46*1854*40</f>
        <v>#VALUE!</v>
      </c>
      <c r="AD46" s="198" t="e">
        <f>AA46</f>
        <v>#VALUE!</v>
      </c>
      <c r="AE46" s="199" t="str">
        <f>IFERROR(AD46/AC46,"")</f>
        <v/>
      </c>
    </row>
    <row r="47" spans="2:41" ht="15.75" customHeight="1">
      <c r="B47" s="182">
        <v>2</v>
      </c>
      <c r="C47" s="949"/>
      <c r="D47" s="57" t="s">
        <v>81</v>
      </c>
      <c r="E47" s="254" t="s">
        <v>100</v>
      </c>
      <c r="F47" s="201"/>
      <c r="G47" s="202">
        <v>8</v>
      </c>
      <c r="H47" s="203">
        <v>11</v>
      </c>
      <c r="I47" s="204">
        <f t="shared" ref="I47:I50" si="75">IFERROR(H47/G47,"")</f>
        <v>1.375</v>
      </c>
      <c r="J47" s="21" t="e">
        <f>SUMIF('[1]Total 2'!$I:$I,_xlfn.TEXTJOIN(" ",TRUE,'NEW ATD PER TEAM'!$D$45,'NEW ATD PER TEAM'!$D47),'[1]Total 2'!L:L)</f>
        <v>#VALUE!</v>
      </c>
      <c r="K47" s="105" t="e">
        <f>J47*68/40</f>
        <v>#VALUE!</v>
      </c>
      <c r="L47" s="190" t="e">
        <f>SUMIF('[1]Total 2'!$I:$I,_xlfn.TEXTJOIN(" ",TRUE,'NEW ATD PER TEAM'!$D$45,'NEW ATD PER TEAM'!$D47),'[1]Total 2'!O:O)</f>
        <v>#VALUE!</v>
      </c>
      <c r="M47" s="205">
        <f t="shared" ref="M47:M50" si="76">IFERROR(L47/K47,0)</f>
        <v>0</v>
      </c>
      <c r="N47" s="18" t="e">
        <f>J47*68/24</f>
        <v>#VALUE!</v>
      </c>
      <c r="O47" s="103" t="e">
        <f>SUMIF('[1]Total 2'!$I:$I,_xlfn.TEXTJOIN(" ",TRUE,'NEW ATD PER TEAM'!$D$45,'NEW ATD PER TEAM'!$D47),'[1]Total 2'!R:R)</f>
        <v>#VALUE!</v>
      </c>
      <c r="P47" s="205">
        <f t="shared" ref="P47:P50" si="77">IFERROR(O47/N47,0)</f>
        <v>0</v>
      </c>
      <c r="Q47" s="18" t="e">
        <f>J47*68/24</f>
        <v>#VALUE!</v>
      </c>
      <c r="R47" s="103" t="e">
        <f>SUMIF('[1]Total 2'!$I:$I,_xlfn.TEXTJOIN(" ",TRUE,'NEW ATD PER TEAM'!$D$45,'NEW ATD PER TEAM'!$D47),'[1]Total 2'!U:U)</f>
        <v>#VALUE!</v>
      </c>
      <c r="S47" s="205">
        <f t="shared" ref="S47:S50" si="78">IFERROR(R47/Q47,0)</f>
        <v>0</v>
      </c>
      <c r="T47" s="18" t="e">
        <f>J47*68/12</f>
        <v>#VALUE!</v>
      </c>
      <c r="U47" s="103" t="e">
        <f>SUMIF('[1]Total 2'!$I:$I,_xlfn.TEXTJOIN(" ",TRUE,'NEW ATD PER TEAM'!$D$45,'NEW ATD PER TEAM'!$D47),'[1]Total 2'!X:X)</f>
        <v>#VALUE!</v>
      </c>
      <c r="V47" s="205">
        <f t="shared" ref="V47:V50" si="79">IFERROR(U47/T47,0)</f>
        <v>0</v>
      </c>
      <c r="W47" s="18" t="e">
        <f>J47*68/12</f>
        <v>#VALUE!</v>
      </c>
      <c r="X47" s="103" t="e">
        <f>SUMIF('[1]Total 2'!$I:$I,_xlfn.TEXTJOIN(" ",TRUE,'NEW ATD PER TEAM'!$D$45,'NEW ATD PER TEAM'!$D47),'[1]Total 2'!AA:AA)</f>
        <v>#VALUE!</v>
      </c>
      <c r="Y47" s="205">
        <f t="shared" ref="Y47:Y50" si="80">IFERROR(X47/W47,0)</f>
        <v>0</v>
      </c>
      <c r="Z47" s="206" t="e">
        <f>SUMIF('[1]Total 2'!$I:$I,_xlfn.TEXTJOIN(" ",TRUE,'NEW ATD PER TEAM'!$D$45,'NEW ATD PER TEAM'!$D47),'[1]Total 2'!AC:AC)</f>
        <v>#VALUE!</v>
      </c>
      <c r="AA47" s="207" t="e">
        <f>SUMIF('[1]Total 2'!$I:$I,_xlfn.TEXTJOIN(" ",TRUE,'NEW ATD PER TEAM'!$D$45,'NEW ATD PER TEAM'!$D47),'[1]Total 2'!AD:AD)</f>
        <v>#VALUE!</v>
      </c>
      <c r="AB47" s="208"/>
      <c r="AC47" s="206" t="e">
        <f>J47*1854*40</f>
        <v>#VALUE!</v>
      </c>
      <c r="AD47" s="25" t="e">
        <f t="shared" ref="AD47:AD49" si="81">AA47</f>
        <v>#VALUE!</v>
      </c>
      <c r="AE47" s="104" t="str">
        <f t="shared" ref="AE47:AE50" si="82">IFERROR(AD47/AC47,"")</f>
        <v/>
      </c>
    </row>
    <row r="48" spans="2:41" ht="15.75" customHeight="1">
      <c r="B48" s="182">
        <v>3</v>
      </c>
      <c r="C48" s="949"/>
      <c r="D48" s="57" t="s">
        <v>83</v>
      </c>
      <c r="E48" s="254"/>
      <c r="F48" s="201"/>
      <c r="G48" s="202">
        <v>8</v>
      </c>
      <c r="H48" s="203"/>
      <c r="I48" s="204">
        <f t="shared" si="75"/>
        <v>0</v>
      </c>
      <c r="J48" s="21" t="e">
        <f>SUMIF('[1]Total 2'!$I:$I,_xlfn.TEXTJOIN(" ",TRUE,'NEW ATD PER TEAM'!$D$45,'NEW ATD PER TEAM'!$D48),'[1]Total 2'!L:L)</f>
        <v>#VALUE!</v>
      </c>
      <c r="K48" s="105" t="e">
        <f>J48*68/40</f>
        <v>#VALUE!</v>
      </c>
      <c r="L48" s="190" t="e">
        <f>SUMIF('[1]Total 2'!$I:$I,_xlfn.TEXTJOIN(" ",TRUE,'NEW ATD PER TEAM'!$D$45,'NEW ATD PER TEAM'!$D48),'[1]Total 2'!O:O)</f>
        <v>#VALUE!</v>
      </c>
      <c r="M48" s="205">
        <f t="shared" si="76"/>
        <v>0</v>
      </c>
      <c r="N48" s="18" t="e">
        <f>J48*68/24</f>
        <v>#VALUE!</v>
      </c>
      <c r="O48" s="103" t="e">
        <f>SUMIF('[1]Total 2'!$I:$I,_xlfn.TEXTJOIN(" ",TRUE,'NEW ATD PER TEAM'!$D$45,'NEW ATD PER TEAM'!$D48),'[1]Total 2'!R:R)</f>
        <v>#VALUE!</v>
      </c>
      <c r="P48" s="205">
        <f t="shared" si="77"/>
        <v>0</v>
      </c>
      <c r="Q48" s="18" t="e">
        <f>J48*68/24</f>
        <v>#VALUE!</v>
      </c>
      <c r="R48" s="103" t="e">
        <f>SUMIF('[1]Total 2'!$I:$I,_xlfn.TEXTJOIN(" ",TRUE,'NEW ATD PER TEAM'!$D$45,'NEW ATD PER TEAM'!$D48),'[1]Total 2'!U:U)</f>
        <v>#VALUE!</v>
      </c>
      <c r="S48" s="205">
        <f t="shared" si="78"/>
        <v>0</v>
      </c>
      <c r="T48" s="18" t="e">
        <f>J48*68/12</f>
        <v>#VALUE!</v>
      </c>
      <c r="U48" s="103" t="e">
        <f>SUMIF('[1]Total 2'!$I:$I,_xlfn.TEXTJOIN(" ",TRUE,'NEW ATD PER TEAM'!$D$45,'NEW ATD PER TEAM'!$D48),'[1]Total 2'!X:X)</f>
        <v>#VALUE!</v>
      </c>
      <c r="V48" s="205">
        <f t="shared" si="79"/>
        <v>0</v>
      </c>
      <c r="W48" s="18" t="e">
        <f>J48*68/12</f>
        <v>#VALUE!</v>
      </c>
      <c r="X48" s="103" t="e">
        <f>SUMIF('[1]Total 2'!$I:$I,_xlfn.TEXTJOIN(" ",TRUE,'NEW ATD PER TEAM'!$D$45,'NEW ATD PER TEAM'!$D48),'[1]Total 2'!AA:AA)</f>
        <v>#VALUE!</v>
      </c>
      <c r="Y48" s="205">
        <f t="shared" si="80"/>
        <v>0</v>
      </c>
      <c r="Z48" s="206" t="e">
        <f>SUMIF('[1]Total 2'!$I:$I,_xlfn.TEXTJOIN(" ",TRUE,'NEW ATD PER TEAM'!$D$45,'NEW ATD PER TEAM'!$D48),'[1]Total 2'!AC:AC)</f>
        <v>#VALUE!</v>
      </c>
      <c r="AA48" s="207" t="e">
        <f>SUMIF('[1]Total 2'!$I:$I,_xlfn.TEXTJOIN(" ",TRUE,'NEW ATD PER TEAM'!$D$45,'NEW ATD PER TEAM'!$D48),'[1]Total 2'!AD:AD)</f>
        <v>#VALUE!</v>
      </c>
      <c r="AB48" s="208"/>
      <c r="AC48" s="206" t="e">
        <f>J48*1854*40</f>
        <v>#VALUE!</v>
      </c>
      <c r="AD48" s="25" t="e">
        <f t="shared" si="81"/>
        <v>#VALUE!</v>
      </c>
      <c r="AE48" s="104" t="str">
        <f t="shared" si="82"/>
        <v/>
      </c>
    </row>
    <row r="49" spans="2:31" ht="15.75" customHeight="1" thickBot="1">
      <c r="B49" s="182">
        <v>4</v>
      </c>
      <c r="C49" s="949"/>
      <c r="D49" s="209" t="s">
        <v>85</v>
      </c>
      <c r="E49" s="210"/>
      <c r="F49" s="211"/>
      <c r="G49" s="212">
        <v>8</v>
      </c>
      <c r="H49" s="213"/>
      <c r="I49" s="214">
        <f t="shared" si="75"/>
        <v>0</v>
      </c>
      <c r="J49" s="215" t="e">
        <f>SUMIF('[1]Total 2'!$I:$I,_xlfn.TEXTJOIN(" ",TRUE,'NEW ATD PER TEAM'!$D$45,'NEW ATD PER TEAM'!$D49),'[1]Total 2'!L:L)</f>
        <v>#VALUE!</v>
      </c>
      <c r="K49" s="112" t="e">
        <f>J49*68/40</f>
        <v>#VALUE!</v>
      </c>
      <c r="L49" s="190" t="e">
        <f>SUMIF('[1]Total 2'!$I:$I,_xlfn.TEXTJOIN(" ",TRUE,'NEW ATD PER TEAM'!$D$45,'NEW ATD PER TEAM'!$D49),'[1]Total 2'!O:O)</f>
        <v>#VALUE!</v>
      </c>
      <c r="M49" s="216">
        <f t="shared" si="76"/>
        <v>0</v>
      </c>
      <c r="N49" s="109" t="e">
        <f>J49*68/24</f>
        <v>#VALUE!</v>
      </c>
      <c r="O49" s="110" t="e">
        <f>SUMIF('[1]Total 2'!$I:$I,_xlfn.TEXTJOIN(" ",TRUE,'NEW ATD PER TEAM'!$D$45,'NEW ATD PER TEAM'!$D49),'[1]Total 2'!R:R)</f>
        <v>#VALUE!</v>
      </c>
      <c r="P49" s="216">
        <f t="shared" si="77"/>
        <v>0</v>
      </c>
      <c r="Q49" s="109" t="e">
        <f>J49*68/24</f>
        <v>#VALUE!</v>
      </c>
      <c r="R49" s="110" t="e">
        <f>SUMIF('[1]Total 2'!$I:$I,_xlfn.TEXTJOIN(" ",TRUE,'NEW ATD PER TEAM'!$D$45,'NEW ATD PER TEAM'!$D49),'[1]Total 2'!U:U)</f>
        <v>#VALUE!</v>
      </c>
      <c r="S49" s="216">
        <f t="shared" si="78"/>
        <v>0</v>
      </c>
      <c r="T49" s="109" t="e">
        <f>J49*68/12</f>
        <v>#VALUE!</v>
      </c>
      <c r="U49" s="110" t="e">
        <f>SUMIF('[1]Total 2'!$I:$I,_xlfn.TEXTJOIN(" ",TRUE,'NEW ATD PER TEAM'!$D$45,'NEW ATD PER TEAM'!$D49),'[1]Total 2'!X:X)</f>
        <v>#VALUE!</v>
      </c>
      <c r="V49" s="216">
        <f t="shared" si="79"/>
        <v>0</v>
      </c>
      <c r="W49" s="109" t="e">
        <f>J49*68/12</f>
        <v>#VALUE!</v>
      </c>
      <c r="X49" s="110" t="e">
        <f>SUMIF('[1]Total 2'!$I:$I,_xlfn.TEXTJOIN(" ",TRUE,'NEW ATD PER TEAM'!$D$45,'NEW ATD PER TEAM'!$D49),'[1]Total 2'!AA:AA)</f>
        <v>#VALUE!</v>
      </c>
      <c r="Y49" s="216">
        <f t="shared" si="80"/>
        <v>0</v>
      </c>
      <c r="Z49" s="217" t="e">
        <f>SUMIF('[1]Total 2'!$I:$I,_xlfn.TEXTJOIN(" ",TRUE,'NEW ATD PER TEAM'!$D$45,'NEW ATD PER TEAM'!$D49),'[1]Total 2'!AC:AC)</f>
        <v>#VALUE!</v>
      </c>
      <c r="AA49" s="218" t="e">
        <f>SUMIF('[1]Total 2'!$I:$I,_xlfn.TEXTJOIN(" ",TRUE,'NEW ATD PER TEAM'!$D$45,'NEW ATD PER TEAM'!$D49),'[1]Total 2'!AD:AD)</f>
        <v>#VALUE!</v>
      </c>
      <c r="AB49" s="219"/>
      <c r="AC49" s="267" t="e">
        <f>J49*1854*40</f>
        <v>#VALUE!</v>
      </c>
      <c r="AD49" s="220" t="e">
        <f t="shared" si="81"/>
        <v>#VALUE!</v>
      </c>
      <c r="AE49" s="268" t="str">
        <f t="shared" si="82"/>
        <v/>
      </c>
    </row>
    <row r="50" spans="2:31" ht="16.2" thickBot="1">
      <c r="B50" s="182"/>
      <c r="C50" s="949"/>
      <c r="D50" s="221"/>
      <c r="E50" s="222" t="s">
        <v>70</v>
      </c>
      <c r="F50" s="223"/>
      <c r="G50" s="224">
        <f>SUM(G46:G49)</f>
        <v>32</v>
      </c>
      <c r="H50" s="224">
        <f>SUM(H46:H49)</f>
        <v>22</v>
      </c>
      <c r="I50" s="225">
        <f t="shared" si="75"/>
        <v>0.6875</v>
      </c>
      <c r="J50" s="226" t="e">
        <f>SUM(J46:J49)</f>
        <v>#VALUE!</v>
      </c>
      <c r="K50" s="227" t="e">
        <f t="shared" ref="K50:L50" si="83">SUM(K46:K49)</f>
        <v>#VALUE!</v>
      </c>
      <c r="L50" s="255" t="e">
        <f t="shared" si="83"/>
        <v>#VALUE!</v>
      </c>
      <c r="M50" s="229">
        <f t="shared" si="76"/>
        <v>0</v>
      </c>
      <c r="N50" s="230" t="e">
        <f t="shared" ref="N50:O50" si="84">SUM(N46:N49)</f>
        <v>#VALUE!</v>
      </c>
      <c r="O50" s="231" t="e">
        <f t="shared" si="84"/>
        <v>#VALUE!</v>
      </c>
      <c r="P50" s="229">
        <f t="shared" si="77"/>
        <v>0</v>
      </c>
      <c r="Q50" s="230" t="e">
        <f t="shared" ref="Q50:R50" si="85">SUM(Q46:Q49)</f>
        <v>#VALUE!</v>
      </c>
      <c r="R50" s="231" t="e">
        <f t="shared" si="85"/>
        <v>#VALUE!</v>
      </c>
      <c r="S50" s="229">
        <f t="shared" si="78"/>
        <v>0</v>
      </c>
      <c r="T50" s="230" t="e">
        <f t="shared" ref="T50:U50" si="86">SUM(T46:T49)</f>
        <v>#VALUE!</v>
      </c>
      <c r="U50" s="231" t="e">
        <f t="shared" si="86"/>
        <v>#VALUE!</v>
      </c>
      <c r="V50" s="229">
        <f t="shared" si="79"/>
        <v>0</v>
      </c>
      <c r="W50" s="230" t="e">
        <f t="shared" ref="W50:X50" si="87">SUM(W46:W49)</f>
        <v>#VALUE!</v>
      </c>
      <c r="X50" s="231" t="e">
        <f t="shared" si="87"/>
        <v>#VALUE!</v>
      </c>
      <c r="Y50" s="229">
        <f t="shared" si="80"/>
        <v>0</v>
      </c>
      <c r="Z50" s="232" t="e">
        <f>SUM(Z46:Z49)</f>
        <v>#VALUE!</v>
      </c>
      <c r="AA50" s="232" t="e">
        <f>SUM(AA46:AA49)</f>
        <v>#VALUE!</v>
      </c>
      <c r="AB50" s="233">
        <f t="shared" ref="AB50:AD50" si="88">SUM(AB46:AB49)</f>
        <v>0</v>
      </c>
      <c r="AC50" s="234" t="e">
        <f t="shared" si="88"/>
        <v>#VALUE!</v>
      </c>
      <c r="AD50" s="235" t="e">
        <f t="shared" si="88"/>
        <v>#VALUE!</v>
      </c>
      <c r="AE50" s="236" t="str">
        <f t="shared" si="82"/>
        <v/>
      </c>
    </row>
    <row r="51" spans="2:31" ht="16.2" thickBot="1">
      <c r="B51" s="182"/>
      <c r="C51" s="948"/>
      <c r="D51" s="170" t="s">
        <v>46</v>
      </c>
      <c r="E51" s="239"/>
      <c r="F51" s="172" t="s">
        <v>101</v>
      </c>
      <c r="G51" s="239"/>
      <c r="H51" s="239"/>
      <c r="I51" s="240"/>
      <c r="J51" s="239"/>
      <c r="K51" s="239"/>
      <c r="L51" s="239"/>
      <c r="M51" s="240"/>
      <c r="N51" s="241"/>
      <c r="O51" s="241"/>
      <c r="P51" s="242"/>
      <c r="Q51" s="241"/>
      <c r="R51" s="241"/>
      <c r="S51" s="242"/>
      <c r="T51" s="241"/>
      <c r="U51" s="241"/>
      <c r="V51" s="242"/>
      <c r="W51" s="241"/>
      <c r="X51" s="241"/>
      <c r="Y51" s="242"/>
      <c r="Z51" s="245"/>
      <c r="AA51" s="180"/>
      <c r="AB51" s="180"/>
      <c r="AC51" s="263"/>
      <c r="AD51" s="263"/>
      <c r="AE51" s="264"/>
    </row>
    <row r="52" spans="2:31" ht="15.75" customHeight="1">
      <c r="B52" s="182">
        <v>1</v>
      </c>
      <c r="C52" s="949"/>
      <c r="D52" s="97" t="s">
        <v>79</v>
      </c>
      <c r="E52" s="265" t="s">
        <v>102</v>
      </c>
      <c r="F52" s="287"/>
      <c r="G52" s="185">
        <v>8</v>
      </c>
      <c r="H52" s="186"/>
      <c r="I52" s="187">
        <f>IFERROR(H52/G52,"")</f>
        <v>0</v>
      </c>
      <c r="J52" s="188" t="e">
        <f>SUMIF('[1]Total 2'!$I:$I,_xlfn.TEXTJOIN(" ",TRUE,'NEW ATD PER TEAM'!$D$51,'NEW ATD PER TEAM'!$D52),'[1]Total 2'!L:L)</f>
        <v>#VALUE!</v>
      </c>
      <c r="K52" s="189" t="e">
        <f>J52*68/40</f>
        <v>#VALUE!</v>
      </c>
      <c r="L52" s="190" t="e">
        <f>SUMIF('[1]Total 2'!$I:$I,_xlfn.TEXTJOIN(" ",TRUE,'NEW ATD PER TEAM'!$D$51,'NEW ATD PER TEAM'!$D52),'[1]Total 2'!O:O)</f>
        <v>#VALUE!</v>
      </c>
      <c r="M52" s="191">
        <f>IFERROR(L52/K52,0)</f>
        <v>0</v>
      </c>
      <c r="N52" s="192" t="e">
        <f>J52*68/24</f>
        <v>#VALUE!</v>
      </c>
      <c r="O52" s="193" t="e">
        <f>SUMIF('[1]Total 2'!$I:$I,_xlfn.TEXTJOIN(" ",TRUE,'NEW ATD PER TEAM'!$D$51,'NEW ATD PER TEAM'!$D52),'[1]Total 2'!R:R)</f>
        <v>#VALUE!</v>
      </c>
      <c r="P52" s="191">
        <f>IFERROR(O52/N52,0)</f>
        <v>0</v>
      </c>
      <c r="Q52" s="192" t="e">
        <f>J52*68/24</f>
        <v>#VALUE!</v>
      </c>
      <c r="R52" s="193" t="e">
        <f>SUMIF('[1]Total 2'!$I:$I,_xlfn.TEXTJOIN(" ",TRUE,'NEW ATD PER TEAM'!$D$51,'NEW ATD PER TEAM'!$D52),'[1]Total 2'!U:U)</f>
        <v>#VALUE!</v>
      </c>
      <c r="S52" s="191">
        <f>IFERROR(R52/Q52,0)</f>
        <v>0</v>
      </c>
      <c r="T52" s="192" t="e">
        <f>J52*68/12</f>
        <v>#VALUE!</v>
      </c>
      <c r="U52" s="193" t="e">
        <f>SUMIF('[1]Total 2'!$I:$I,_xlfn.TEXTJOIN(" ",TRUE,'NEW ATD PER TEAM'!$D$51,'NEW ATD PER TEAM'!$D52),'[1]Total 2'!X:X)</f>
        <v>#VALUE!</v>
      </c>
      <c r="V52" s="191">
        <f>IFERROR(U52/T52,0)</f>
        <v>0</v>
      </c>
      <c r="W52" s="192" t="e">
        <f>J52*68/12</f>
        <v>#VALUE!</v>
      </c>
      <c r="X52" s="193" t="e">
        <f>SUMIF('[1]Total 2'!$I:$I,_xlfn.TEXTJOIN(" ",TRUE,'NEW ATD PER TEAM'!$D$51,'NEW ATD PER TEAM'!$D52),'[1]Total 2'!AA:AA)</f>
        <v>#VALUE!</v>
      </c>
      <c r="Y52" s="191">
        <f>IFERROR(X52/W52,0)</f>
        <v>0</v>
      </c>
      <c r="Z52" s="197" t="e">
        <f>SUMIF('[1]Total 2'!$I:$I,_xlfn.TEXTJOIN(" ",TRUE,'NEW ATD PER TEAM'!$D$51,'NEW ATD PER TEAM'!$D52),'[1]Total 2'!AC:AC)</f>
        <v>#VALUE!</v>
      </c>
      <c r="AA52" s="253" t="e">
        <f>SUMIF('[1]Total 2'!$I:$I,_xlfn.TEXTJOIN(" ",TRUE,'NEW ATD PER TEAM'!$D$51,'NEW ATD PER TEAM'!$D52),'[1]Total 2'!AD:AD)</f>
        <v>#VALUE!</v>
      </c>
      <c r="AB52" s="196"/>
      <c r="AC52" s="197" t="e">
        <f>J52*1854*40</f>
        <v>#VALUE!</v>
      </c>
      <c r="AD52" s="198" t="e">
        <f>AA52</f>
        <v>#VALUE!</v>
      </c>
      <c r="AE52" s="199" t="str">
        <f>IFERROR(AD52/AC52,"")</f>
        <v/>
      </c>
    </row>
    <row r="53" spans="2:31" ht="15.75" customHeight="1">
      <c r="B53" s="182">
        <v>2</v>
      </c>
      <c r="C53" s="949"/>
      <c r="D53" s="57" t="s">
        <v>81</v>
      </c>
      <c r="E53" s="254" t="s">
        <v>103</v>
      </c>
      <c r="F53" s="288"/>
      <c r="G53" s="202">
        <v>8</v>
      </c>
      <c r="H53" s="203"/>
      <c r="I53" s="204">
        <f t="shared" ref="I53:I56" si="89">IFERROR(H53/G53,"")</f>
        <v>0</v>
      </c>
      <c r="J53" s="21" t="e">
        <f>SUMIF('[1]Total 2'!$I:$I,_xlfn.TEXTJOIN(" ",TRUE,'NEW ATD PER TEAM'!$D$51,'NEW ATD PER TEAM'!$D53),'[1]Total 2'!L:L)</f>
        <v>#VALUE!</v>
      </c>
      <c r="K53" s="105" t="e">
        <f>J53*68/40</f>
        <v>#VALUE!</v>
      </c>
      <c r="L53" s="190" t="e">
        <f>SUMIF('[1]Total 2'!$I:$I,_xlfn.TEXTJOIN(" ",TRUE,'NEW ATD PER TEAM'!$D$51,'NEW ATD PER TEAM'!$D53),'[1]Total 2'!O:O)</f>
        <v>#VALUE!</v>
      </c>
      <c r="M53" s="205">
        <f t="shared" ref="M53:M56" si="90">IFERROR(L53/K53,0)</f>
        <v>0</v>
      </c>
      <c r="N53" s="18" t="e">
        <f>J53*68/24</f>
        <v>#VALUE!</v>
      </c>
      <c r="O53" s="103" t="e">
        <f>SUMIF('[1]Total 2'!$I:$I,_xlfn.TEXTJOIN(" ",TRUE,'NEW ATD PER TEAM'!$D$51,'NEW ATD PER TEAM'!$D53),'[1]Total 2'!R:R)</f>
        <v>#VALUE!</v>
      </c>
      <c r="P53" s="205">
        <f t="shared" ref="P53:P56" si="91">IFERROR(O53/N53,0)</f>
        <v>0</v>
      </c>
      <c r="Q53" s="18" t="e">
        <f>J53*68/24</f>
        <v>#VALUE!</v>
      </c>
      <c r="R53" s="103" t="e">
        <f>SUMIF('[1]Total 2'!$I:$I,_xlfn.TEXTJOIN(" ",TRUE,'NEW ATD PER TEAM'!$D$51,'NEW ATD PER TEAM'!$D53),'[1]Total 2'!U:U)</f>
        <v>#VALUE!</v>
      </c>
      <c r="S53" s="205">
        <f t="shared" ref="S53:S56" si="92">IFERROR(R53/Q53,0)</f>
        <v>0</v>
      </c>
      <c r="T53" s="18" t="e">
        <f>J53*68/12</f>
        <v>#VALUE!</v>
      </c>
      <c r="U53" s="103" t="e">
        <f>SUMIF('[1]Total 2'!$I:$I,_xlfn.TEXTJOIN(" ",TRUE,'NEW ATD PER TEAM'!$D$51,'NEW ATD PER TEAM'!$D53),'[1]Total 2'!X:X)</f>
        <v>#VALUE!</v>
      </c>
      <c r="V53" s="205">
        <f t="shared" ref="V53:V56" si="93">IFERROR(U53/T53,0)</f>
        <v>0</v>
      </c>
      <c r="W53" s="18" t="e">
        <f>J53*68/12</f>
        <v>#VALUE!</v>
      </c>
      <c r="X53" s="103" t="e">
        <f>SUMIF('[1]Total 2'!$I:$I,_xlfn.TEXTJOIN(" ",TRUE,'NEW ATD PER TEAM'!$D$51,'NEW ATD PER TEAM'!$D53),'[1]Total 2'!AA:AA)</f>
        <v>#VALUE!</v>
      </c>
      <c r="Y53" s="205">
        <f t="shared" ref="Y53:Y56" si="94">IFERROR(X53/W53,0)</f>
        <v>0</v>
      </c>
      <c r="Z53" s="206" t="e">
        <f>SUMIF('[1]Total 2'!$I:$I,_xlfn.TEXTJOIN(" ",TRUE,'NEW ATD PER TEAM'!$D$51,'NEW ATD PER TEAM'!$D53),'[1]Total 2'!AC:AC)</f>
        <v>#VALUE!</v>
      </c>
      <c r="AA53" s="207" t="e">
        <f>SUMIF('[1]Total 2'!$I:$I,_xlfn.TEXTJOIN(" ",TRUE,'NEW ATD PER TEAM'!$D$51,'NEW ATD PER TEAM'!$D53),'[1]Total 2'!AD:AD)</f>
        <v>#VALUE!</v>
      </c>
      <c r="AB53" s="208"/>
      <c r="AC53" s="206" t="e">
        <f>J53*1854*40</f>
        <v>#VALUE!</v>
      </c>
      <c r="AD53" s="25" t="e">
        <f t="shared" ref="AD53:AD55" si="95">AA53</f>
        <v>#VALUE!</v>
      </c>
      <c r="AE53" s="104" t="str">
        <f t="shared" ref="AE53:AE56" si="96">IFERROR(AD53/AC53,"")</f>
        <v/>
      </c>
    </row>
    <row r="54" spans="2:31" ht="15.75" customHeight="1">
      <c r="B54" s="182">
        <v>3</v>
      </c>
      <c r="C54" s="949"/>
      <c r="D54" s="57" t="s">
        <v>83</v>
      </c>
      <c r="E54" s="254"/>
      <c r="F54" s="201"/>
      <c r="G54" s="202">
        <v>8</v>
      </c>
      <c r="H54" s="203"/>
      <c r="I54" s="204">
        <f t="shared" si="89"/>
        <v>0</v>
      </c>
      <c r="J54" s="21" t="e">
        <f>SUMIF('[1]Total 2'!$I:$I,_xlfn.TEXTJOIN(" ",TRUE,'NEW ATD PER TEAM'!$D$51,'NEW ATD PER TEAM'!$D54),'[1]Total 2'!L:L)</f>
        <v>#VALUE!</v>
      </c>
      <c r="K54" s="105" t="e">
        <f>J54*68/40</f>
        <v>#VALUE!</v>
      </c>
      <c r="L54" s="190" t="e">
        <f>SUMIF('[1]Total 2'!$I:$I,_xlfn.TEXTJOIN(" ",TRUE,'NEW ATD PER TEAM'!$D$51,'NEW ATD PER TEAM'!$D54),'[1]Total 2'!O:O)</f>
        <v>#VALUE!</v>
      </c>
      <c r="M54" s="205">
        <f t="shared" si="90"/>
        <v>0</v>
      </c>
      <c r="N54" s="18" t="e">
        <f>J54*68/24</f>
        <v>#VALUE!</v>
      </c>
      <c r="O54" s="103" t="e">
        <f>SUMIF('[1]Total 2'!$I:$I,_xlfn.TEXTJOIN(" ",TRUE,'NEW ATD PER TEAM'!$D$51,'NEW ATD PER TEAM'!$D54),'[1]Total 2'!R:R)</f>
        <v>#VALUE!</v>
      </c>
      <c r="P54" s="205">
        <f t="shared" si="91"/>
        <v>0</v>
      </c>
      <c r="Q54" s="18" t="e">
        <f>J54*68/24</f>
        <v>#VALUE!</v>
      </c>
      <c r="R54" s="103" t="e">
        <f>SUMIF('[1]Total 2'!$I:$I,_xlfn.TEXTJOIN(" ",TRUE,'NEW ATD PER TEAM'!$D$51,'NEW ATD PER TEAM'!$D54),'[1]Total 2'!U:U)</f>
        <v>#VALUE!</v>
      </c>
      <c r="S54" s="205">
        <f t="shared" si="92"/>
        <v>0</v>
      </c>
      <c r="T54" s="18" t="e">
        <f>J54*68/12</f>
        <v>#VALUE!</v>
      </c>
      <c r="U54" s="103" t="e">
        <f>SUMIF('[1]Total 2'!$I:$I,_xlfn.TEXTJOIN(" ",TRUE,'NEW ATD PER TEAM'!$D$51,'NEW ATD PER TEAM'!$D54),'[1]Total 2'!X:X)</f>
        <v>#VALUE!</v>
      </c>
      <c r="V54" s="205">
        <f t="shared" si="93"/>
        <v>0</v>
      </c>
      <c r="W54" s="18" t="e">
        <f>J54*68/12</f>
        <v>#VALUE!</v>
      </c>
      <c r="X54" s="103" t="e">
        <f>SUMIF('[1]Total 2'!$I:$I,_xlfn.TEXTJOIN(" ",TRUE,'NEW ATD PER TEAM'!$D$51,'NEW ATD PER TEAM'!$D54),'[1]Total 2'!AA:AA)</f>
        <v>#VALUE!</v>
      </c>
      <c r="Y54" s="205">
        <f t="shared" si="94"/>
        <v>0</v>
      </c>
      <c r="Z54" s="206" t="e">
        <f>SUMIF('[1]Total 2'!$I:$I,_xlfn.TEXTJOIN(" ",TRUE,'NEW ATD PER TEAM'!$D$51,'NEW ATD PER TEAM'!$D54),'[1]Total 2'!AC:AC)</f>
        <v>#VALUE!</v>
      </c>
      <c r="AA54" s="207" t="e">
        <f>SUMIF('[1]Total 2'!$I:$I,_xlfn.TEXTJOIN(" ",TRUE,'NEW ATD PER TEAM'!$D$51,'NEW ATD PER TEAM'!$D54),'[1]Total 2'!AD:AD)</f>
        <v>#VALUE!</v>
      </c>
      <c r="AB54" s="208"/>
      <c r="AC54" s="206" t="e">
        <f>J54*1854*40</f>
        <v>#VALUE!</v>
      </c>
      <c r="AD54" s="25" t="e">
        <f t="shared" si="95"/>
        <v>#VALUE!</v>
      </c>
      <c r="AE54" s="104" t="str">
        <f t="shared" si="96"/>
        <v/>
      </c>
    </row>
    <row r="55" spans="2:31" ht="15.75" customHeight="1" thickBot="1">
      <c r="B55" s="182">
        <v>4</v>
      </c>
      <c r="C55" s="949"/>
      <c r="D55" s="209" t="s">
        <v>85</v>
      </c>
      <c r="E55" s="210"/>
      <c r="F55" s="211"/>
      <c r="G55" s="212">
        <v>8</v>
      </c>
      <c r="H55" s="213"/>
      <c r="I55" s="214">
        <f t="shared" si="89"/>
        <v>0</v>
      </c>
      <c r="J55" s="215" t="e">
        <f>SUMIF('[1]Total 2'!$I:$I,_xlfn.TEXTJOIN(" ",TRUE,'NEW ATD PER TEAM'!$D$51,'NEW ATD PER TEAM'!$D55),'[1]Total 2'!L:L)</f>
        <v>#VALUE!</v>
      </c>
      <c r="K55" s="112" t="e">
        <f>J55*68/40</f>
        <v>#VALUE!</v>
      </c>
      <c r="L55" s="190" t="e">
        <f>SUMIF('[1]Total 2'!$I:$I,_xlfn.TEXTJOIN(" ",TRUE,'NEW ATD PER TEAM'!$D$51,'NEW ATD PER TEAM'!$D55),'[1]Total 2'!O:O)</f>
        <v>#VALUE!</v>
      </c>
      <c r="M55" s="216">
        <f t="shared" si="90"/>
        <v>0</v>
      </c>
      <c r="N55" s="109" t="e">
        <f>J55*68/24</f>
        <v>#VALUE!</v>
      </c>
      <c r="O55" s="110" t="e">
        <f>SUMIF('[1]Total 2'!$I:$I,_xlfn.TEXTJOIN(" ",TRUE,'NEW ATD PER TEAM'!$D$51,'NEW ATD PER TEAM'!$D55),'[1]Total 2'!R:R)</f>
        <v>#VALUE!</v>
      </c>
      <c r="P55" s="216">
        <f t="shared" si="91"/>
        <v>0</v>
      </c>
      <c r="Q55" s="109" t="e">
        <f>J55*68/24</f>
        <v>#VALUE!</v>
      </c>
      <c r="R55" s="110" t="e">
        <f>SUMIF('[1]Total 2'!$I:$I,_xlfn.TEXTJOIN(" ",TRUE,'NEW ATD PER TEAM'!$D$51,'NEW ATD PER TEAM'!$D55),'[1]Total 2'!U:U)</f>
        <v>#VALUE!</v>
      </c>
      <c r="S55" s="216">
        <f t="shared" si="92"/>
        <v>0</v>
      </c>
      <c r="T55" s="109" t="e">
        <f>J55*68/12</f>
        <v>#VALUE!</v>
      </c>
      <c r="U55" s="110" t="e">
        <f>SUMIF('[1]Total 2'!$I:$I,_xlfn.TEXTJOIN(" ",TRUE,'NEW ATD PER TEAM'!$D$51,'NEW ATD PER TEAM'!$D55),'[1]Total 2'!X:X)</f>
        <v>#VALUE!</v>
      </c>
      <c r="V55" s="216">
        <f t="shared" si="93"/>
        <v>0</v>
      </c>
      <c r="W55" s="109" t="e">
        <f>J55*68/12</f>
        <v>#VALUE!</v>
      </c>
      <c r="X55" s="110" t="e">
        <f>SUMIF('[1]Total 2'!$I:$I,_xlfn.TEXTJOIN(" ",TRUE,'NEW ATD PER TEAM'!$D$51,'NEW ATD PER TEAM'!$D55),'[1]Total 2'!AA:AA)</f>
        <v>#VALUE!</v>
      </c>
      <c r="Y55" s="216">
        <f t="shared" si="94"/>
        <v>0</v>
      </c>
      <c r="Z55" s="217" t="e">
        <f>SUMIF('[1]Total 2'!$I:$I,_xlfn.TEXTJOIN(" ",TRUE,'NEW ATD PER TEAM'!$D$51,'NEW ATD PER TEAM'!$D55),'[1]Total 2'!AC:AC)</f>
        <v>#VALUE!</v>
      </c>
      <c r="AA55" s="218" t="e">
        <f>SUMIF('[1]Total 2'!$I:$I,_xlfn.TEXTJOIN(" ",TRUE,'NEW ATD PER TEAM'!$D$51,'NEW ATD PER TEAM'!$D55),'[1]Total 2'!AD:AD)</f>
        <v>#VALUE!</v>
      </c>
      <c r="AB55" s="219"/>
      <c r="AC55" s="267" t="e">
        <f>J55*1854*40</f>
        <v>#VALUE!</v>
      </c>
      <c r="AD55" s="220" t="e">
        <f t="shared" si="95"/>
        <v>#VALUE!</v>
      </c>
      <c r="AE55" s="268" t="str">
        <f t="shared" si="96"/>
        <v/>
      </c>
    </row>
    <row r="56" spans="2:31" ht="16.2" thickBot="1">
      <c r="B56" s="182"/>
      <c r="C56" s="949"/>
      <c r="D56" s="221"/>
      <c r="E56" s="222" t="s">
        <v>70</v>
      </c>
      <c r="F56" s="223"/>
      <c r="G56" s="224">
        <f>SUM(G52:G55)</f>
        <v>32</v>
      </c>
      <c r="H56" s="224">
        <f>SUM(H52:H55)</f>
        <v>0</v>
      </c>
      <c r="I56" s="225">
        <f t="shared" si="89"/>
        <v>0</v>
      </c>
      <c r="J56" s="226" t="e">
        <f>SUM(J52:J55)</f>
        <v>#VALUE!</v>
      </c>
      <c r="K56" s="227" t="e">
        <f t="shared" ref="K56:L56" si="97">SUM(K52:K55)</f>
        <v>#VALUE!</v>
      </c>
      <c r="L56" s="255" t="e">
        <f t="shared" si="97"/>
        <v>#VALUE!</v>
      </c>
      <c r="M56" s="229">
        <f t="shared" si="90"/>
        <v>0</v>
      </c>
      <c r="N56" s="230" t="e">
        <f t="shared" ref="N56:O56" si="98">SUM(N52:N55)</f>
        <v>#VALUE!</v>
      </c>
      <c r="O56" s="231" t="e">
        <f t="shared" si="98"/>
        <v>#VALUE!</v>
      </c>
      <c r="P56" s="229">
        <f t="shared" si="91"/>
        <v>0</v>
      </c>
      <c r="Q56" s="230" t="e">
        <f t="shared" ref="Q56:R56" si="99">SUM(Q52:Q55)</f>
        <v>#VALUE!</v>
      </c>
      <c r="R56" s="231" t="e">
        <f t="shared" si="99"/>
        <v>#VALUE!</v>
      </c>
      <c r="S56" s="229">
        <f t="shared" si="92"/>
        <v>0</v>
      </c>
      <c r="T56" s="230" t="e">
        <f t="shared" ref="T56:U56" si="100">SUM(T52:T55)</f>
        <v>#VALUE!</v>
      </c>
      <c r="U56" s="231" t="e">
        <f t="shared" si="100"/>
        <v>#VALUE!</v>
      </c>
      <c r="V56" s="229">
        <f t="shared" si="93"/>
        <v>0</v>
      </c>
      <c r="W56" s="230" t="e">
        <f t="shared" ref="W56:X56" si="101">SUM(W52:W55)</f>
        <v>#VALUE!</v>
      </c>
      <c r="X56" s="231" t="e">
        <f t="shared" si="101"/>
        <v>#VALUE!</v>
      </c>
      <c r="Y56" s="229">
        <f t="shared" si="94"/>
        <v>0</v>
      </c>
      <c r="Z56" s="232" t="e">
        <f>SUM(Z52:Z55)</f>
        <v>#VALUE!</v>
      </c>
      <c r="AA56" s="232" t="e">
        <f>SUM(AA52:AA55)</f>
        <v>#VALUE!</v>
      </c>
      <c r="AB56" s="233">
        <f t="shared" ref="AB56:AD56" si="102">SUM(AB52:AB55)</f>
        <v>0</v>
      </c>
      <c r="AC56" s="234" t="e">
        <f t="shared" si="102"/>
        <v>#VALUE!</v>
      </c>
      <c r="AD56" s="235" t="e">
        <f t="shared" si="102"/>
        <v>#VALUE!</v>
      </c>
      <c r="AE56" s="236" t="str">
        <f t="shared" si="96"/>
        <v/>
      </c>
    </row>
    <row r="57" spans="2:31" ht="16.2" thickBot="1">
      <c r="B57" s="182"/>
      <c r="C57" s="948"/>
      <c r="D57" s="170" t="s">
        <v>104</v>
      </c>
      <c r="E57" s="239"/>
      <c r="F57" s="175" t="s">
        <v>105</v>
      </c>
      <c r="G57" s="239"/>
      <c r="H57" s="239"/>
      <c r="I57" s="240"/>
      <c r="J57" s="239"/>
      <c r="K57" s="239"/>
      <c r="L57" s="239"/>
      <c r="M57" s="240"/>
      <c r="N57" s="241"/>
      <c r="O57" s="241"/>
      <c r="P57" s="242"/>
      <c r="Q57" s="241"/>
      <c r="R57" s="241"/>
      <c r="S57" s="242"/>
      <c r="T57" s="241"/>
      <c r="U57" s="241"/>
      <c r="V57" s="242"/>
      <c r="W57" s="241"/>
      <c r="X57" s="241"/>
      <c r="Y57" s="242"/>
      <c r="Z57" s="245"/>
      <c r="AA57" s="180"/>
      <c r="AB57" s="180"/>
      <c r="AC57" s="263"/>
      <c r="AD57" s="263"/>
      <c r="AE57" s="264"/>
    </row>
    <row r="58" spans="2:31" ht="15.75" customHeight="1">
      <c r="B58" s="182">
        <v>1</v>
      </c>
      <c r="C58" s="949"/>
      <c r="D58" s="97" t="s">
        <v>79</v>
      </c>
      <c r="E58" s="260" t="s">
        <v>106</v>
      </c>
      <c r="F58" s="288"/>
      <c r="G58" s="185">
        <v>8</v>
      </c>
      <c r="H58" s="186"/>
      <c r="I58" s="187">
        <f>IFERROR(H58/G58,"")</f>
        <v>0</v>
      </c>
      <c r="J58" s="188" t="e">
        <f>SUMIF('[1]Total 2'!$I:$I,_xlfn.TEXTJOIN(" ",TRUE,'NEW ATD PER TEAM'!$D$57,'NEW ATD PER TEAM'!$D58),'[1]Total 2'!L:L)</f>
        <v>#VALUE!</v>
      </c>
      <c r="K58" s="189" t="e">
        <f>J58*68/40</f>
        <v>#VALUE!</v>
      </c>
      <c r="L58" s="190" t="e">
        <f>SUMIF('[1]Total 2'!$I:$I,_xlfn.TEXTJOIN(" ",TRUE,'NEW ATD PER TEAM'!$D$57,'NEW ATD PER TEAM'!$D58),'[1]Total 2'!O:O)</f>
        <v>#VALUE!</v>
      </c>
      <c r="M58" s="191">
        <f>IFERROR(L58/K58,0)</f>
        <v>0</v>
      </c>
      <c r="N58" s="192" t="e">
        <f>J58*68/24</f>
        <v>#VALUE!</v>
      </c>
      <c r="O58" s="193" t="e">
        <f>SUMIF('[1]Total 2'!$I:$I,_xlfn.TEXTJOIN(" ",TRUE,'NEW ATD PER TEAM'!$D$57,'NEW ATD PER TEAM'!$D58),'[1]Total 2'!R:R)</f>
        <v>#VALUE!</v>
      </c>
      <c r="P58" s="191">
        <f>IFERROR(O58/N58,0)</f>
        <v>0</v>
      </c>
      <c r="Q58" s="192" t="e">
        <f>J58*68/24</f>
        <v>#VALUE!</v>
      </c>
      <c r="R58" s="193" t="e">
        <f>SUMIF('[1]Total 2'!$I:$I,_xlfn.TEXTJOIN(" ",TRUE,'NEW ATD PER TEAM'!$D$57,'NEW ATD PER TEAM'!$D58),'[1]Total 2'!U:U)</f>
        <v>#VALUE!</v>
      </c>
      <c r="S58" s="191">
        <f>IFERROR(R58/Q58,0)</f>
        <v>0</v>
      </c>
      <c r="T58" s="192" t="e">
        <f>J58*68/12</f>
        <v>#VALUE!</v>
      </c>
      <c r="U58" s="193" t="e">
        <f>SUMIF('[1]Total 2'!$I:$I,_xlfn.TEXTJOIN(" ",TRUE,'NEW ATD PER TEAM'!$D$57,'NEW ATD PER TEAM'!$D58),'[1]Total 2'!X:X)</f>
        <v>#VALUE!</v>
      </c>
      <c r="V58" s="191">
        <f>IFERROR(U58/T58,0)</f>
        <v>0</v>
      </c>
      <c r="W58" s="192" t="e">
        <f>J58*68/12</f>
        <v>#VALUE!</v>
      </c>
      <c r="X58" s="193" t="e">
        <f>SUMIF('[1]Total 2'!$I:$I,_xlfn.TEXTJOIN(" ",TRUE,'NEW ATD PER TEAM'!$D$57,'NEW ATD PER TEAM'!$D58),'[1]Total 2'!AA:AA)</f>
        <v>#VALUE!</v>
      </c>
      <c r="Y58" s="191">
        <f>IFERROR(X58/W58,0)</f>
        <v>0</v>
      </c>
      <c r="Z58" s="197" t="e">
        <f>SUMIF('[1]Total 2'!$I:$I,_xlfn.TEXTJOIN(" ",TRUE,'NEW ATD PER TEAM'!$D$57,'NEW ATD PER TEAM'!$D58),'[1]Total 2'!AC:AC)</f>
        <v>#VALUE!</v>
      </c>
      <c r="AA58" s="253" t="e">
        <f>SUMIF('[1]Total 2'!$I:$I,_xlfn.TEXTJOIN(" ",TRUE,'NEW ATD PER TEAM'!$D$57,'NEW ATD PER TEAM'!$D58),'[1]Total 2'!AD:AD)</f>
        <v>#VALUE!</v>
      </c>
      <c r="AB58" s="196"/>
      <c r="AC58" s="197" t="e">
        <f>J58*1854*40</f>
        <v>#VALUE!</v>
      </c>
      <c r="AD58" s="198" t="e">
        <f>AA58</f>
        <v>#VALUE!</v>
      </c>
      <c r="AE58" s="199" t="str">
        <f>IFERROR(AD58/AC58,"")</f>
        <v/>
      </c>
    </row>
    <row r="59" spans="2:31" ht="15.75" customHeight="1">
      <c r="B59" s="182">
        <v>2</v>
      </c>
      <c r="C59" s="949"/>
      <c r="D59" s="57" t="s">
        <v>81</v>
      </c>
      <c r="E59" s="254" t="s">
        <v>107</v>
      </c>
      <c r="F59" s="288"/>
      <c r="G59" s="202">
        <v>8</v>
      </c>
      <c r="H59" s="203"/>
      <c r="I59" s="204">
        <f t="shared" ref="I59:I62" si="103">IFERROR(H59/G59,"")</f>
        <v>0</v>
      </c>
      <c r="J59" s="21" t="e">
        <f>SUMIF('[1]Total 2'!$I:$I,_xlfn.TEXTJOIN(" ",TRUE,'NEW ATD PER TEAM'!$D$57,'NEW ATD PER TEAM'!$D59),'[1]Total 2'!L:L)</f>
        <v>#VALUE!</v>
      </c>
      <c r="K59" s="105" t="e">
        <f>J59*68/40</f>
        <v>#VALUE!</v>
      </c>
      <c r="L59" s="190" t="e">
        <f>SUMIF('[1]Total 2'!$I:$I,_xlfn.TEXTJOIN(" ",TRUE,'NEW ATD PER TEAM'!$D$57,'NEW ATD PER TEAM'!$D59),'[1]Total 2'!O:O)</f>
        <v>#VALUE!</v>
      </c>
      <c r="M59" s="205">
        <f t="shared" ref="M59:M62" si="104">IFERROR(L59/K59,0)</f>
        <v>0</v>
      </c>
      <c r="N59" s="18" t="e">
        <f>J59*68/24</f>
        <v>#VALUE!</v>
      </c>
      <c r="O59" s="103" t="e">
        <f>SUMIF('[1]Total 2'!$I:$I,_xlfn.TEXTJOIN(" ",TRUE,'NEW ATD PER TEAM'!$D$57,'NEW ATD PER TEAM'!$D59),'[1]Total 2'!R:R)</f>
        <v>#VALUE!</v>
      </c>
      <c r="P59" s="205">
        <f t="shared" ref="P59:P62" si="105">IFERROR(O59/N59,0)</f>
        <v>0</v>
      </c>
      <c r="Q59" s="18" t="e">
        <f>J59*68/24</f>
        <v>#VALUE!</v>
      </c>
      <c r="R59" s="103" t="e">
        <f>SUMIF('[1]Total 2'!$I:$I,_xlfn.TEXTJOIN(" ",TRUE,'NEW ATD PER TEAM'!$D$57,'NEW ATD PER TEAM'!$D59),'[1]Total 2'!U:U)</f>
        <v>#VALUE!</v>
      </c>
      <c r="S59" s="205">
        <f t="shared" ref="S59:S62" si="106">IFERROR(R59/Q59,0)</f>
        <v>0</v>
      </c>
      <c r="T59" s="18" t="e">
        <f>J59*68/12</f>
        <v>#VALUE!</v>
      </c>
      <c r="U59" s="103" t="e">
        <f>SUMIF('[1]Total 2'!$I:$I,_xlfn.TEXTJOIN(" ",TRUE,'NEW ATD PER TEAM'!$D$57,'NEW ATD PER TEAM'!$D59),'[1]Total 2'!X:X)</f>
        <v>#VALUE!</v>
      </c>
      <c r="V59" s="205">
        <f t="shared" ref="V59:V62" si="107">IFERROR(U59/T59,0)</f>
        <v>0</v>
      </c>
      <c r="W59" s="18" t="e">
        <f>J59*68/12</f>
        <v>#VALUE!</v>
      </c>
      <c r="X59" s="103" t="e">
        <f>SUMIF('[1]Total 2'!$I:$I,_xlfn.TEXTJOIN(" ",TRUE,'NEW ATD PER TEAM'!$D$57,'NEW ATD PER TEAM'!$D59),'[1]Total 2'!AA:AA)</f>
        <v>#VALUE!</v>
      </c>
      <c r="Y59" s="205">
        <f t="shared" ref="Y59:Y62" si="108">IFERROR(X59/W59,0)</f>
        <v>0</v>
      </c>
      <c r="Z59" s="206" t="e">
        <f>SUMIF('[1]Total 2'!$I:$I,_xlfn.TEXTJOIN(" ",TRUE,'NEW ATD PER TEAM'!$D$57,'NEW ATD PER TEAM'!$D59),'[1]Total 2'!AC:AC)</f>
        <v>#VALUE!</v>
      </c>
      <c r="AA59" s="207" t="e">
        <f>SUMIF('[1]Total 2'!$I:$I,_xlfn.TEXTJOIN(" ",TRUE,'NEW ATD PER TEAM'!$D$57,'NEW ATD PER TEAM'!$D59),'[1]Total 2'!AD:AD)</f>
        <v>#VALUE!</v>
      </c>
      <c r="AB59" s="208"/>
      <c r="AC59" s="206" t="e">
        <f>J59*1854*40</f>
        <v>#VALUE!</v>
      </c>
      <c r="AD59" s="25" t="e">
        <f t="shared" ref="AD59:AD61" si="109">AA59</f>
        <v>#VALUE!</v>
      </c>
      <c r="AE59" s="104" t="str">
        <f t="shared" ref="AE59:AE62" si="110">IFERROR(AD59/AC59,"")</f>
        <v/>
      </c>
    </row>
    <row r="60" spans="2:31" ht="15.75" customHeight="1">
      <c r="B60" s="182">
        <v>3</v>
      </c>
      <c r="C60" s="949"/>
      <c r="D60" s="57" t="s">
        <v>83</v>
      </c>
      <c r="E60" s="254"/>
      <c r="F60" s="282"/>
      <c r="G60" s="202">
        <v>8</v>
      </c>
      <c r="H60" s="203"/>
      <c r="I60" s="204">
        <f t="shared" si="103"/>
        <v>0</v>
      </c>
      <c r="J60" s="21" t="e">
        <f>SUMIF('[1]Total 2'!$I:$I,_xlfn.TEXTJOIN(" ",TRUE,'NEW ATD PER TEAM'!$D$57,'NEW ATD PER TEAM'!$D60),'[1]Total 2'!L:L)</f>
        <v>#VALUE!</v>
      </c>
      <c r="K60" s="105" t="e">
        <f>J60*68/40</f>
        <v>#VALUE!</v>
      </c>
      <c r="L60" s="190" t="e">
        <f>SUMIF('[1]Total 2'!$I:$I,_xlfn.TEXTJOIN(" ",TRUE,'NEW ATD PER TEAM'!$D$57,'NEW ATD PER TEAM'!$D60),'[1]Total 2'!O:O)</f>
        <v>#VALUE!</v>
      </c>
      <c r="M60" s="205">
        <f t="shared" si="104"/>
        <v>0</v>
      </c>
      <c r="N60" s="18" t="e">
        <f>J60*68/24</f>
        <v>#VALUE!</v>
      </c>
      <c r="O60" s="103" t="e">
        <f>SUMIF('[1]Total 2'!$I:$I,_xlfn.TEXTJOIN(" ",TRUE,'NEW ATD PER TEAM'!$D$57,'NEW ATD PER TEAM'!$D60),'[1]Total 2'!R:R)</f>
        <v>#VALUE!</v>
      </c>
      <c r="P60" s="205">
        <f t="shared" si="105"/>
        <v>0</v>
      </c>
      <c r="Q60" s="18" t="e">
        <f>J60*68/24</f>
        <v>#VALUE!</v>
      </c>
      <c r="R60" s="103" t="e">
        <f>SUMIF('[1]Total 2'!$I:$I,_xlfn.TEXTJOIN(" ",TRUE,'NEW ATD PER TEAM'!$D$57,'NEW ATD PER TEAM'!$D60),'[1]Total 2'!U:U)</f>
        <v>#VALUE!</v>
      </c>
      <c r="S60" s="205">
        <f t="shared" si="106"/>
        <v>0</v>
      </c>
      <c r="T60" s="18" t="e">
        <f>J60*68/12</f>
        <v>#VALUE!</v>
      </c>
      <c r="U60" s="103" t="e">
        <f>SUMIF('[1]Total 2'!$I:$I,_xlfn.TEXTJOIN(" ",TRUE,'NEW ATD PER TEAM'!$D$57,'NEW ATD PER TEAM'!$D60),'[1]Total 2'!X:X)</f>
        <v>#VALUE!</v>
      </c>
      <c r="V60" s="205">
        <f t="shared" si="107"/>
        <v>0</v>
      </c>
      <c r="W60" s="18" t="e">
        <f>J60*68/12</f>
        <v>#VALUE!</v>
      </c>
      <c r="X60" s="103" t="e">
        <f>SUMIF('[1]Total 2'!$I:$I,_xlfn.TEXTJOIN(" ",TRUE,'NEW ATD PER TEAM'!$D$57,'NEW ATD PER TEAM'!$D60),'[1]Total 2'!AA:AA)</f>
        <v>#VALUE!</v>
      </c>
      <c r="Y60" s="205">
        <f t="shared" si="108"/>
        <v>0</v>
      </c>
      <c r="Z60" s="206" t="e">
        <f>SUMIF('[1]Total 2'!$I:$I,_xlfn.TEXTJOIN(" ",TRUE,'NEW ATD PER TEAM'!$D$57,'NEW ATD PER TEAM'!$D60),'[1]Total 2'!AC:AC)</f>
        <v>#VALUE!</v>
      </c>
      <c r="AA60" s="207" t="e">
        <f>SUMIF('[1]Total 2'!$I:$I,_xlfn.TEXTJOIN(" ",TRUE,'NEW ATD PER TEAM'!$D$57,'NEW ATD PER TEAM'!$D60),'[1]Total 2'!AD:AD)</f>
        <v>#VALUE!</v>
      </c>
      <c r="AB60" s="208"/>
      <c r="AC60" s="206" t="e">
        <f>J60*1854*40</f>
        <v>#VALUE!</v>
      </c>
      <c r="AD60" s="25" t="e">
        <f t="shared" si="109"/>
        <v>#VALUE!</v>
      </c>
      <c r="AE60" s="104" t="str">
        <f t="shared" si="110"/>
        <v/>
      </c>
    </row>
    <row r="61" spans="2:31" ht="15.75" customHeight="1" thickBot="1">
      <c r="B61" s="182">
        <v>4</v>
      </c>
      <c r="C61" s="949"/>
      <c r="D61" s="209" t="s">
        <v>85</v>
      </c>
      <c r="E61" s="210"/>
      <c r="F61" s="211"/>
      <c r="G61" s="212">
        <v>8</v>
      </c>
      <c r="H61" s="213"/>
      <c r="I61" s="214">
        <f t="shared" si="103"/>
        <v>0</v>
      </c>
      <c r="J61" s="215" t="e">
        <f>SUMIF('[1]Total 2'!$I:$I,_xlfn.TEXTJOIN(" ",TRUE,'NEW ATD PER TEAM'!$D$57,'NEW ATD PER TEAM'!$D61),'[1]Total 2'!L:L)</f>
        <v>#VALUE!</v>
      </c>
      <c r="K61" s="112" t="e">
        <f>J61*68/40</f>
        <v>#VALUE!</v>
      </c>
      <c r="L61" s="190" t="e">
        <f>SUMIF('[1]Total 2'!$I:$I,_xlfn.TEXTJOIN(" ",TRUE,'NEW ATD PER TEAM'!$D$57,'NEW ATD PER TEAM'!$D61),'[1]Total 2'!O:O)</f>
        <v>#VALUE!</v>
      </c>
      <c r="M61" s="216">
        <f t="shared" si="104"/>
        <v>0</v>
      </c>
      <c r="N61" s="109" t="e">
        <f>J61*68/24</f>
        <v>#VALUE!</v>
      </c>
      <c r="O61" s="110" t="e">
        <f>SUMIF('[1]Total 2'!$I:$I,_xlfn.TEXTJOIN(" ",TRUE,'NEW ATD PER TEAM'!$D$57,'NEW ATD PER TEAM'!$D61),'[1]Total 2'!R:R)</f>
        <v>#VALUE!</v>
      </c>
      <c r="P61" s="216">
        <f t="shared" si="105"/>
        <v>0</v>
      </c>
      <c r="Q61" s="109" t="e">
        <f>J61*68/24</f>
        <v>#VALUE!</v>
      </c>
      <c r="R61" s="110" t="e">
        <f>SUMIF('[1]Total 2'!$I:$I,_xlfn.TEXTJOIN(" ",TRUE,'NEW ATD PER TEAM'!$D$57,'NEW ATD PER TEAM'!$D61),'[1]Total 2'!U:U)</f>
        <v>#VALUE!</v>
      </c>
      <c r="S61" s="216">
        <f t="shared" si="106"/>
        <v>0</v>
      </c>
      <c r="T61" s="109" t="e">
        <f>J61*68/12</f>
        <v>#VALUE!</v>
      </c>
      <c r="U61" s="110" t="e">
        <f>SUMIF('[1]Total 2'!$I:$I,_xlfn.TEXTJOIN(" ",TRUE,'NEW ATD PER TEAM'!$D$57,'NEW ATD PER TEAM'!$D61),'[1]Total 2'!X:X)</f>
        <v>#VALUE!</v>
      </c>
      <c r="V61" s="216">
        <f t="shared" si="107"/>
        <v>0</v>
      </c>
      <c r="W61" s="109" t="e">
        <f>J61*68/12</f>
        <v>#VALUE!</v>
      </c>
      <c r="X61" s="110" t="e">
        <f>SUMIF('[1]Total 2'!$I:$I,_xlfn.TEXTJOIN(" ",TRUE,'NEW ATD PER TEAM'!$D$57,'NEW ATD PER TEAM'!$D61),'[1]Total 2'!AA:AA)</f>
        <v>#VALUE!</v>
      </c>
      <c r="Y61" s="216">
        <f t="shared" si="108"/>
        <v>0</v>
      </c>
      <c r="Z61" s="217" t="e">
        <f>SUMIF('[1]Total 2'!$I:$I,_xlfn.TEXTJOIN(" ",TRUE,'NEW ATD PER TEAM'!$D$57,'NEW ATD PER TEAM'!$D61),'[1]Total 2'!AC:AC)</f>
        <v>#VALUE!</v>
      </c>
      <c r="AA61" s="218" t="e">
        <f>SUMIF('[1]Total 2'!$I:$I,_xlfn.TEXTJOIN(" ",TRUE,'NEW ATD PER TEAM'!$D$57,'NEW ATD PER TEAM'!$D61),'[1]Total 2'!AD:AD)</f>
        <v>#VALUE!</v>
      </c>
      <c r="AB61" s="219"/>
      <c r="AC61" s="267" t="e">
        <f>J61*1854*40</f>
        <v>#VALUE!</v>
      </c>
      <c r="AD61" s="220" t="e">
        <f t="shared" si="109"/>
        <v>#VALUE!</v>
      </c>
      <c r="AE61" s="268" t="str">
        <f t="shared" si="110"/>
        <v/>
      </c>
    </row>
    <row r="62" spans="2:31" ht="16.2" thickBot="1">
      <c r="B62" s="182"/>
      <c r="C62" s="949"/>
      <c r="D62" s="221"/>
      <c r="E62" s="222" t="s">
        <v>70</v>
      </c>
      <c r="F62" s="223"/>
      <c r="G62" s="224">
        <f>SUM(G58:G61)</f>
        <v>32</v>
      </c>
      <c r="H62" s="224">
        <f>SUM(H58:H61)</f>
        <v>0</v>
      </c>
      <c r="I62" s="225">
        <f t="shared" si="103"/>
        <v>0</v>
      </c>
      <c r="J62" s="226" t="e">
        <f>SUM(J58:J61)</f>
        <v>#VALUE!</v>
      </c>
      <c r="K62" s="227" t="e">
        <f t="shared" ref="K62:L62" si="111">SUM(K58:K61)</f>
        <v>#VALUE!</v>
      </c>
      <c r="L62" s="255" t="e">
        <f t="shared" si="111"/>
        <v>#VALUE!</v>
      </c>
      <c r="M62" s="229">
        <f t="shared" si="104"/>
        <v>0</v>
      </c>
      <c r="N62" s="289" t="e">
        <f t="shared" ref="N62:O62" si="112">SUM(N58:N61)</f>
        <v>#VALUE!</v>
      </c>
      <c r="O62" s="290" t="e">
        <f t="shared" si="112"/>
        <v>#VALUE!</v>
      </c>
      <c r="P62" s="291">
        <f t="shared" si="105"/>
        <v>0</v>
      </c>
      <c r="Q62" s="289" t="e">
        <f t="shared" ref="Q62:R62" si="113">SUM(Q58:Q61)</f>
        <v>#VALUE!</v>
      </c>
      <c r="R62" s="290" t="e">
        <f t="shared" si="113"/>
        <v>#VALUE!</v>
      </c>
      <c r="S62" s="291">
        <f t="shared" si="106"/>
        <v>0</v>
      </c>
      <c r="T62" s="289" t="e">
        <f t="shared" ref="T62:U62" si="114">SUM(T58:T61)</f>
        <v>#VALUE!</v>
      </c>
      <c r="U62" s="290" t="e">
        <f t="shared" si="114"/>
        <v>#VALUE!</v>
      </c>
      <c r="V62" s="291">
        <f t="shared" si="107"/>
        <v>0</v>
      </c>
      <c r="W62" s="289" t="e">
        <f t="shared" ref="W62:X62" si="115">SUM(W58:W61)</f>
        <v>#VALUE!</v>
      </c>
      <c r="X62" s="290" t="e">
        <f t="shared" si="115"/>
        <v>#VALUE!</v>
      </c>
      <c r="Y62" s="291">
        <f t="shared" si="108"/>
        <v>0</v>
      </c>
      <c r="Z62" s="232" t="e">
        <f>SUM(Z58:Z61)</f>
        <v>#VALUE!</v>
      </c>
      <c r="AA62" s="232" t="e">
        <f>SUM(AA58:AA61)</f>
        <v>#VALUE!</v>
      </c>
      <c r="AB62" s="233">
        <f t="shared" ref="AB62:AD62" si="116">SUM(AB58:AB61)</f>
        <v>0</v>
      </c>
      <c r="AC62" s="234" t="e">
        <f t="shared" si="116"/>
        <v>#VALUE!</v>
      </c>
      <c r="AD62" s="235" t="e">
        <f t="shared" si="116"/>
        <v>#VALUE!</v>
      </c>
      <c r="AE62" s="236" t="str">
        <f t="shared" si="110"/>
        <v/>
      </c>
    </row>
    <row r="63" spans="2:31" ht="16.2" thickBot="1">
      <c r="B63" s="182"/>
      <c r="C63" s="948"/>
      <c r="D63" s="170" t="s">
        <v>108</v>
      </c>
      <c r="E63" s="239"/>
      <c r="F63" s="175" t="s">
        <v>49</v>
      </c>
      <c r="G63" s="239"/>
      <c r="H63" s="239"/>
      <c r="I63" s="240"/>
      <c r="J63" s="239"/>
      <c r="K63" s="239"/>
      <c r="L63" s="239"/>
      <c r="M63" s="240"/>
      <c r="N63" s="241"/>
      <c r="O63" s="241"/>
      <c r="P63" s="242"/>
      <c r="Q63" s="241"/>
      <c r="R63" s="241"/>
      <c r="S63" s="242"/>
      <c r="T63" s="241"/>
      <c r="U63" s="241"/>
      <c r="V63" s="242"/>
      <c r="W63" s="241"/>
      <c r="X63" s="241"/>
      <c r="Y63" s="242"/>
      <c r="Z63" s="245"/>
      <c r="AA63" s="180"/>
      <c r="AB63" s="180"/>
      <c r="AC63" s="263"/>
      <c r="AD63" s="263"/>
      <c r="AE63" s="264"/>
    </row>
    <row r="64" spans="2:31" ht="15.75" customHeight="1">
      <c r="B64" s="182">
        <v>1</v>
      </c>
      <c r="C64" s="949"/>
      <c r="D64" s="97" t="s">
        <v>79</v>
      </c>
      <c r="E64" s="260" t="s">
        <v>109</v>
      </c>
      <c r="F64" s="282"/>
      <c r="G64" s="185">
        <v>8</v>
      </c>
      <c r="H64" s="186">
        <v>4</v>
      </c>
      <c r="I64" s="187">
        <f>IFERROR(H64/G64,"")</f>
        <v>0.5</v>
      </c>
      <c r="J64" s="188" t="e">
        <f>SUMIF('[1]Total 2'!$I:$I,_xlfn.TEXTJOIN(" ",TRUE,'NEW ATD PER TEAM'!$D$63,'NEW ATD PER TEAM'!$D64),'[1]Total 2'!L:L)</f>
        <v>#VALUE!</v>
      </c>
      <c r="K64" s="189" t="e">
        <f>J64*68/40</f>
        <v>#VALUE!</v>
      </c>
      <c r="L64" s="190" t="e">
        <f>SUMIF('[1]Total 2'!$I:$I,_xlfn.TEXTJOIN(" ",TRUE,'NEW ATD PER TEAM'!$D$63,'NEW ATD PER TEAM'!$D64),'[1]Total 2'!O:O)</f>
        <v>#VALUE!</v>
      </c>
      <c r="M64" s="191">
        <f>IFERROR(L64/K64,0)</f>
        <v>0</v>
      </c>
      <c r="N64" s="192" t="e">
        <f>J64*68/24</f>
        <v>#VALUE!</v>
      </c>
      <c r="O64" s="193" t="e">
        <f>SUMIF('[1]Total 2'!$I:$I,_xlfn.TEXTJOIN(" ",TRUE,'NEW ATD PER TEAM'!$D$63,'NEW ATD PER TEAM'!$D64),'[1]Total 2'!R:R)</f>
        <v>#VALUE!</v>
      </c>
      <c r="P64" s="191">
        <f>IFERROR(O64/N64,0)</f>
        <v>0</v>
      </c>
      <c r="Q64" s="192" t="e">
        <f>J64*68/24</f>
        <v>#VALUE!</v>
      </c>
      <c r="R64" s="193" t="e">
        <f>SUMIF('[1]Total 2'!$I:$I,_xlfn.TEXTJOIN(" ",TRUE,'NEW ATD PER TEAM'!$D$63,'NEW ATD PER TEAM'!$D64),'[1]Total 2'!U:U)</f>
        <v>#VALUE!</v>
      </c>
      <c r="S64" s="191">
        <f>IFERROR(R64/Q64,0)</f>
        <v>0</v>
      </c>
      <c r="T64" s="192" t="e">
        <f>J64*68/12</f>
        <v>#VALUE!</v>
      </c>
      <c r="U64" s="193" t="e">
        <f>SUMIF('[1]Total 2'!$I:$I,_xlfn.TEXTJOIN(" ",TRUE,'NEW ATD PER TEAM'!$D$63,'NEW ATD PER TEAM'!$D64),'[1]Total 2'!X:X)</f>
        <v>#VALUE!</v>
      </c>
      <c r="V64" s="191">
        <f>IFERROR(U64/T64,0)</f>
        <v>0</v>
      </c>
      <c r="W64" s="192" t="e">
        <f>J64*68/12</f>
        <v>#VALUE!</v>
      </c>
      <c r="X64" s="193" t="e">
        <f>SUMIF('[1]Total 2'!$I:$I,_xlfn.TEXTJOIN(" ",TRUE,'NEW ATD PER TEAM'!$D$63,'NEW ATD PER TEAM'!$D64),'[1]Total 2'!AA:AA)</f>
        <v>#VALUE!</v>
      </c>
      <c r="Y64" s="191">
        <f>IFERROR(X64/W64,0)</f>
        <v>0</v>
      </c>
      <c r="Z64" s="197" t="e">
        <f>SUMIF('[1]Total 2'!$I:$I,_xlfn.TEXTJOIN(" ",TRUE,'NEW ATD PER TEAM'!$D$63,'NEW ATD PER TEAM'!$D64),'[1]Total 2'!AC:AC)</f>
        <v>#VALUE!</v>
      </c>
      <c r="AA64" s="253" t="e">
        <f>SUMIF('[1]Total 2'!$I:$I,_xlfn.TEXTJOIN(" ",TRUE,'NEW ATD PER TEAM'!$D$63,'NEW ATD PER TEAM'!$D64),'[1]Total 2'!AD:AD)</f>
        <v>#VALUE!</v>
      </c>
      <c r="AB64" s="196"/>
      <c r="AC64" s="197" t="e">
        <f>J64*1854*40</f>
        <v>#VALUE!</v>
      </c>
      <c r="AD64" s="198" t="e">
        <f>AA64</f>
        <v>#VALUE!</v>
      </c>
      <c r="AE64" s="199" t="str">
        <f>IFERROR(AD64/AC64,"")</f>
        <v/>
      </c>
    </row>
    <row r="65" spans="1:91" ht="15.75" customHeight="1">
      <c r="B65" s="182">
        <v>2</v>
      </c>
      <c r="C65" s="949"/>
      <c r="D65" s="57" t="s">
        <v>81</v>
      </c>
      <c r="E65" s="254" t="s">
        <v>110</v>
      </c>
      <c r="F65" s="282"/>
      <c r="G65" s="202">
        <v>8</v>
      </c>
      <c r="H65" s="203">
        <v>4</v>
      </c>
      <c r="I65" s="204">
        <f t="shared" ref="I65:I68" si="117">IFERROR(H65/G65,"")</f>
        <v>0.5</v>
      </c>
      <c r="J65" s="21" t="e">
        <f>SUMIF('[1]Total 2'!$I:$I,_xlfn.TEXTJOIN(" ",TRUE,'NEW ATD PER TEAM'!$D$63,'NEW ATD PER TEAM'!$D65),'[1]Total 2'!L:L)</f>
        <v>#VALUE!</v>
      </c>
      <c r="K65" s="105" t="e">
        <f>J65*68/40</f>
        <v>#VALUE!</v>
      </c>
      <c r="L65" s="190" t="e">
        <f>SUMIF('[1]Total 2'!$I:$I,_xlfn.TEXTJOIN(" ",TRUE,'NEW ATD PER TEAM'!$D$63,'NEW ATD PER TEAM'!$D65),'[1]Total 2'!O:O)</f>
        <v>#VALUE!</v>
      </c>
      <c r="M65" s="205">
        <f t="shared" ref="M65:M68" si="118">IFERROR(L65/K65,0)</f>
        <v>0</v>
      </c>
      <c r="N65" s="18" t="e">
        <f>J65*68/24</f>
        <v>#VALUE!</v>
      </c>
      <c r="O65" s="103" t="e">
        <f>SUMIF('[1]Total 2'!$I:$I,_xlfn.TEXTJOIN(" ",TRUE,'NEW ATD PER TEAM'!$D$63,'NEW ATD PER TEAM'!$D65),'[1]Total 2'!R:R)</f>
        <v>#VALUE!</v>
      </c>
      <c r="P65" s="205">
        <f t="shared" ref="P65:P68" si="119">IFERROR(O65/N65,0)</f>
        <v>0</v>
      </c>
      <c r="Q65" s="18" t="e">
        <f>J65*68/24</f>
        <v>#VALUE!</v>
      </c>
      <c r="R65" s="103" t="e">
        <f>SUMIF('[1]Total 2'!$I:$I,_xlfn.TEXTJOIN(" ",TRUE,'NEW ATD PER TEAM'!$D$63,'NEW ATD PER TEAM'!$D65),'[1]Total 2'!U:U)</f>
        <v>#VALUE!</v>
      </c>
      <c r="S65" s="205">
        <f t="shared" ref="S65:S68" si="120">IFERROR(R65/Q65,0)</f>
        <v>0</v>
      </c>
      <c r="T65" s="18" t="e">
        <f>J65*68/12</f>
        <v>#VALUE!</v>
      </c>
      <c r="U65" s="103" t="e">
        <f>SUMIF('[1]Total 2'!$I:$I,_xlfn.TEXTJOIN(" ",TRUE,'NEW ATD PER TEAM'!$D$63,'NEW ATD PER TEAM'!$D65),'[1]Total 2'!X:X)</f>
        <v>#VALUE!</v>
      </c>
      <c r="V65" s="205">
        <f t="shared" ref="V65:V68" si="121">IFERROR(U65/T65,0)</f>
        <v>0</v>
      </c>
      <c r="W65" s="18" t="e">
        <f>J65*68/12</f>
        <v>#VALUE!</v>
      </c>
      <c r="X65" s="103" t="e">
        <f>SUMIF('[1]Total 2'!$I:$I,_xlfn.TEXTJOIN(" ",TRUE,'NEW ATD PER TEAM'!$D$63,'NEW ATD PER TEAM'!$D65),'[1]Total 2'!AA:AA)</f>
        <v>#VALUE!</v>
      </c>
      <c r="Y65" s="205">
        <f t="shared" ref="Y65:Y68" si="122">IFERROR(X65/W65,0)</f>
        <v>0</v>
      </c>
      <c r="Z65" s="206" t="e">
        <f>SUMIF('[1]Total 2'!$I:$I,_xlfn.TEXTJOIN(" ",TRUE,'NEW ATD PER TEAM'!$D$63,'NEW ATD PER TEAM'!$D65),'[1]Total 2'!AC:AC)</f>
        <v>#VALUE!</v>
      </c>
      <c r="AA65" s="207" t="e">
        <f>SUMIF('[1]Total 2'!$I:$I,_xlfn.TEXTJOIN(" ",TRUE,'NEW ATD PER TEAM'!$D$63,'NEW ATD PER TEAM'!$D65),'[1]Total 2'!AD:AD)</f>
        <v>#VALUE!</v>
      </c>
      <c r="AB65" s="208"/>
      <c r="AC65" s="206" t="e">
        <f>J65*1854*40</f>
        <v>#VALUE!</v>
      </c>
      <c r="AD65" s="25" t="e">
        <f t="shared" ref="AD65:AD67" si="123">AA65</f>
        <v>#VALUE!</v>
      </c>
      <c r="AE65" s="104" t="str">
        <f t="shared" ref="AE65:AE68" si="124">IFERROR(AD65/AC65,"")</f>
        <v/>
      </c>
    </row>
    <row r="66" spans="1:91" ht="15.75" customHeight="1">
      <c r="B66" s="182">
        <v>3</v>
      </c>
      <c r="C66" s="949"/>
      <c r="D66" s="57" t="s">
        <v>83</v>
      </c>
      <c r="E66" s="254"/>
      <c r="F66" s="201"/>
      <c r="G66" s="202">
        <v>8</v>
      </c>
      <c r="H66" s="203"/>
      <c r="I66" s="204">
        <f t="shared" si="117"/>
        <v>0</v>
      </c>
      <c r="J66" s="21" t="e">
        <f>SUMIF('[1]Total 2'!$I:$I,_xlfn.TEXTJOIN(" ",TRUE,'NEW ATD PER TEAM'!$D$63,'NEW ATD PER TEAM'!$D66),'[1]Total 2'!L:L)</f>
        <v>#VALUE!</v>
      </c>
      <c r="K66" s="105" t="e">
        <f>J66*68/40</f>
        <v>#VALUE!</v>
      </c>
      <c r="L66" s="190" t="e">
        <f>SUMIF('[1]Total 2'!$I:$I,_xlfn.TEXTJOIN(" ",TRUE,'NEW ATD PER TEAM'!$D$63,'NEW ATD PER TEAM'!$D66),'[1]Total 2'!O:O)</f>
        <v>#VALUE!</v>
      </c>
      <c r="M66" s="205">
        <f t="shared" si="118"/>
        <v>0</v>
      </c>
      <c r="N66" s="18" t="e">
        <f>J66*68/24</f>
        <v>#VALUE!</v>
      </c>
      <c r="O66" s="103" t="e">
        <f>SUMIF('[1]Total 2'!$I:$I,_xlfn.TEXTJOIN(" ",TRUE,'NEW ATD PER TEAM'!$D$63,'NEW ATD PER TEAM'!$D66),'[1]Total 2'!R:R)</f>
        <v>#VALUE!</v>
      </c>
      <c r="P66" s="205">
        <f t="shared" si="119"/>
        <v>0</v>
      </c>
      <c r="Q66" s="18" t="e">
        <f>J66*68/24</f>
        <v>#VALUE!</v>
      </c>
      <c r="R66" s="103" t="e">
        <f>SUMIF('[1]Total 2'!$I:$I,_xlfn.TEXTJOIN(" ",TRUE,'NEW ATD PER TEAM'!$D$63,'NEW ATD PER TEAM'!$D66),'[1]Total 2'!U:U)</f>
        <v>#VALUE!</v>
      </c>
      <c r="S66" s="205">
        <f t="shared" si="120"/>
        <v>0</v>
      </c>
      <c r="T66" s="18" t="e">
        <f>J66*68/12</f>
        <v>#VALUE!</v>
      </c>
      <c r="U66" s="103" t="e">
        <f>SUMIF('[1]Total 2'!$I:$I,_xlfn.TEXTJOIN(" ",TRUE,'NEW ATD PER TEAM'!$D$63,'NEW ATD PER TEAM'!$D66),'[1]Total 2'!X:X)</f>
        <v>#VALUE!</v>
      </c>
      <c r="V66" s="205">
        <f t="shared" si="121"/>
        <v>0</v>
      </c>
      <c r="W66" s="18" t="e">
        <f>J66*68/12</f>
        <v>#VALUE!</v>
      </c>
      <c r="X66" s="103" t="e">
        <f>SUMIF('[1]Total 2'!$I:$I,_xlfn.TEXTJOIN(" ",TRUE,'NEW ATD PER TEAM'!$D$63,'NEW ATD PER TEAM'!$D66),'[1]Total 2'!AA:AA)</f>
        <v>#VALUE!</v>
      </c>
      <c r="Y66" s="205">
        <f t="shared" si="122"/>
        <v>0</v>
      </c>
      <c r="Z66" s="206" t="e">
        <f>SUMIF('[1]Total 2'!$I:$I,_xlfn.TEXTJOIN(" ",TRUE,'NEW ATD PER TEAM'!$D$63,'NEW ATD PER TEAM'!$D66),'[1]Total 2'!AC:AC)</f>
        <v>#VALUE!</v>
      </c>
      <c r="AA66" s="207" t="e">
        <f>SUMIF('[1]Total 2'!$I:$I,_xlfn.TEXTJOIN(" ",TRUE,'NEW ATD PER TEAM'!$D$63,'NEW ATD PER TEAM'!$D66),'[1]Total 2'!AD:AD)</f>
        <v>#VALUE!</v>
      </c>
      <c r="AB66" s="208"/>
      <c r="AC66" s="206" t="e">
        <f>J66*1854*40</f>
        <v>#VALUE!</v>
      </c>
      <c r="AD66" s="25" t="e">
        <f t="shared" si="123"/>
        <v>#VALUE!</v>
      </c>
      <c r="AE66" s="104" t="str">
        <f t="shared" si="124"/>
        <v/>
      </c>
    </row>
    <row r="67" spans="1:91" ht="15.75" customHeight="1" thickBot="1">
      <c r="B67" s="182">
        <v>4</v>
      </c>
      <c r="C67" s="949"/>
      <c r="D67" s="209" t="s">
        <v>85</v>
      </c>
      <c r="E67" s="210"/>
      <c r="F67" s="211"/>
      <c r="G67" s="212">
        <v>8</v>
      </c>
      <c r="H67" s="213"/>
      <c r="I67" s="214">
        <f t="shared" si="117"/>
        <v>0</v>
      </c>
      <c r="J67" s="215" t="e">
        <f>SUMIF('[1]Total 2'!$I:$I,_xlfn.TEXTJOIN(" ",TRUE,'NEW ATD PER TEAM'!$D$63,'NEW ATD PER TEAM'!$D67),'[1]Total 2'!L:L)</f>
        <v>#VALUE!</v>
      </c>
      <c r="K67" s="112" t="e">
        <f>J67*68/40</f>
        <v>#VALUE!</v>
      </c>
      <c r="L67" s="190" t="e">
        <f>SUMIF('[1]Total 2'!$I:$I,_xlfn.TEXTJOIN(" ",TRUE,'NEW ATD PER TEAM'!$D$63,'NEW ATD PER TEAM'!$D67),'[1]Total 2'!O:O)</f>
        <v>#VALUE!</v>
      </c>
      <c r="M67" s="216">
        <f t="shared" si="118"/>
        <v>0</v>
      </c>
      <c r="N67" s="109" t="e">
        <f>J67*68/24</f>
        <v>#VALUE!</v>
      </c>
      <c r="O67" s="110" t="e">
        <f>SUMIF('[1]Total 2'!$I:$I,_xlfn.TEXTJOIN(" ",TRUE,'NEW ATD PER TEAM'!$D$63,'NEW ATD PER TEAM'!$D67),'[1]Total 2'!R:R)</f>
        <v>#VALUE!</v>
      </c>
      <c r="P67" s="216">
        <f t="shared" si="119"/>
        <v>0</v>
      </c>
      <c r="Q67" s="109" t="e">
        <f>J67*68/24</f>
        <v>#VALUE!</v>
      </c>
      <c r="R67" s="110" t="e">
        <f>SUMIF('[1]Total 2'!$I:$I,_xlfn.TEXTJOIN(" ",TRUE,'NEW ATD PER TEAM'!$D$63,'NEW ATD PER TEAM'!$D67),'[1]Total 2'!U:U)</f>
        <v>#VALUE!</v>
      </c>
      <c r="S67" s="216">
        <f t="shared" si="120"/>
        <v>0</v>
      </c>
      <c r="T67" s="109" t="e">
        <f>J67*68/12</f>
        <v>#VALUE!</v>
      </c>
      <c r="U67" s="110" t="e">
        <f>SUMIF('[1]Total 2'!$I:$I,_xlfn.TEXTJOIN(" ",TRUE,'NEW ATD PER TEAM'!$D$63,'NEW ATD PER TEAM'!$D67),'[1]Total 2'!X:X)</f>
        <v>#VALUE!</v>
      </c>
      <c r="V67" s="216">
        <f t="shared" si="121"/>
        <v>0</v>
      </c>
      <c r="W67" s="109" t="e">
        <f>J67*68/12</f>
        <v>#VALUE!</v>
      </c>
      <c r="X67" s="110" t="e">
        <f>SUMIF('[1]Total 2'!$I:$I,_xlfn.TEXTJOIN(" ",TRUE,'NEW ATD PER TEAM'!$D$63,'NEW ATD PER TEAM'!$D67),'[1]Total 2'!AA:AA)</f>
        <v>#VALUE!</v>
      </c>
      <c r="Y67" s="216">
        <f t="shared" si="122"/>
        <v>0</v>
      </c>
      <c r="Z67" s="217" t="e">
        <f>SUMIF('[1]Total 2'!$I:$I,_xlfn.TEXTJOIN(" ",TRUE,'NEW ATD PER TEAM'!$D$63,'NEW ATD PER TEAM'!$D67),'[1]Total 2'!AC:AC)</f>
        <v>#VALUE!</v>
      </c>
      <c r="AA67" s="218" t="e">
        <f>SUMIF('[1]Total 2'!$I:$I,_xlfn.TEXTJOIN(" ",TRUE,'NEW ATD PER TEAM'!$D$63,'NEW ATD PER TEAM'!$D67),'[1]Total 2'!AD:AD)</f>
        <v>#VALUE!</v>
      </c>
      <c r="AB67" s="219"/>
      <c r="AC67" s="267" t="e">
        <f>J67*1854*40</f>
        <v>#VALUE!</v>
      </c>
      <c r="AD67" s="220" t="e">
        <f t="shared" si="123"/>
        <v>#VALUE!</v>
      </c>
      <c r="AE67" s="268" t="str">
        <f t="shared" si="124"/>
        <v/>
      </c>
    </row>
    <row r="68" spans="1:91" ht="16.2" thickBot="1">
      <c r="B68" s="182"/>
      <c r="C68" s="949"/>
      <c r="D68" s="221"/>
      <c r="E68" s="222" t="s">
        <v>70</v>
      </c>
      <c r="F68" s="223"/>
      <c r="G68" s="224">
        <f>SUM(G64:G67)</f>
        <v>32</v>
      </c>
      <c r="H68" s="224">
        <f>SUM(H64:H67)</f>
        <v>8</v>
      </c>
      <c r="I68" s="225">
        <f t="shared" si="117"/>
        <v>0.25</v>
      </c>
      <c r="J68" s="226" t="e">
        <f>SUM(J64:J67)</f>
        <v>#VALUE!</v>
      </c>
      <c r="K68" s="227" t="e">
        <f t="shared" ref="K68:L68" si="125">SUM(K64:K67)</f>
        <v>#VALUE!</v>
      </c>
      <c r="L68" s="255" t="e">
        <f t="shared" si="125"/>
        <v>#VALUE!</v>
      </c>
      <c r="M68" s="229">
        <f t="shared" si="118"/>
        <v>0</v>
      </c>
      <c r="N68" s="230" t="e">
        <f t="shared" ref="N68:O68" si="126">SUM(N64:N67)</f>
        <v>#VALUE!</v>
      </c>
      <c r="O68" s="231" t="e">
        <f t="shared" si="126"/>
        <v>#VALUE!</v>
      </c>
      <c r="P68" s="229">
        <f t="shared" si="119"/>
        <v>0</v>
      </c>
      <c r="Q68" s="230" t="e">
        <f t="shared" ref="Q68:R68" si="127">SUM(Q64:Q67)</f>
        <v>#VALUE!</v>
      </c>
      <c r="R68" s="231" t="e">
        <f t="shared" si="127"/>
        <v>#VALUE!</v>
      </c>
      <c r="S68" s="229">
        <f t="shared" si="120"/>
        <v>0</v>
      </c>
      <c r="T68" s="230" t="e">
        <f t="shared" ref="T68:U68" si="128">SUM(T64:T67)</f>
        <v>#VALUE!</v>
      </c>
      <c r="U68" s="231" t="e">
        <f t="shared" si="128"/>
        <v>#VALUE!</v>
      </c>
      <c r="V68" s="229">
        <f t="shared" si="121"/>
        <v>0</v>
      </c>
      <c r="W68" s="230" t="e">
        <f t="shared" ref="W68:X68" si="129">SUM(W64:W67)</f>
        <v>#VALUE!</v>
      </c>
      <c r="X68" s="231" t="e">
        <f t="shared" si="129"/>
        <v>#VALUE!</v>
      </c>
      <c r="Y68" s="229">
        <f t="shared" si="122"/>
        <v>0</v>
      </c>
      <c r="Z68" s="232" t="e">
        <f>SUM(Z64:Z67)</f>
        <v>#VALUE!</v>
      </c>
      <c r="AA68" s="232" t="e">
        <f>SUM(AA64:AA67)</f>
        <v>#VALUE!</v>
      </c>
      <c r="AB68" s="233">
        <f t="shared" ref="AB68:AD68" si="130">SUM(AB64:AB67)</f>
        <v>0</v>
      </c>
      <c r="AC68" s="234" t="e">
        <f t="shared" si="130"/>
        <v>#VALUE!</v>
      </c>
      <c r="AD68" s="235" t="e">
        <f t="shared" si="130"/>
        <v>#VALUE!</v>
      </c>
      <c r="AE68" s="236" t="str">
        <f t="shared" si="124"/>
        <v/>
      </c>
    </row>
    <row r="69" spans="1:91" ht="16.2" thickBot="1">
      <c r="B69" s="182"/>
      <c r="C69" s="948"/>
      <c r="D69" s="170" t="s">
        <v>111</v>
      </c>
      <c r="E69" s="239"/>
      <c r="F69" s="172" t="s">
        <v>51</v>
      </c>
      <c r="G69" s="239"/>
      <c r="H69" s="239"/>
      <c r="I69" s="240"/>
      <c r="J69" s="239"/>
      <c r="K69" s="239"/>
      <c r="L69" s="239"/>
      <c r="M69" s="240"/>
      <c r="N69" s="241"/>
      <c r="O69" s="241"/>
      <c r="P69" s="242"/>
      <c r="Q69" s="241"/>
      <c r="R69" s="241"/>
      <c r="S69" s="242"/>
      <c r="T69" s="241"/>
      <c r="U69" s="241"/>
      <c r="V69" s="242"/>
      <c r="W69" s="241"/>
      <c r="X69" s="241"/>
      <c r="Y69" s="242"/>
      <c r="Z69" s="245"/>
      <c r="AA69" s="180"/>
      <c r="AB69" s="180"/>
      <c r="AC69" s="263"/>
      <c r="AD69" s="263"/>
      <c r="AE69" s="264"/>
    </row>
    <row r="70" spans="1:91" ht="15.75" customHeight="1">
      <c r="B70" s="182">
        <v>1</v>
      </c>
      <c r="C70" s="949"/>
      <c r="D70" s="97" t="s">
        <v>79</v>
      </c>
      <c r="E70" s="260" t="s">
        <v>112</v>
      </c>
      <c r="F70" s="288"/>
      <c r="G70" s="185">
        <v>8</v>
      </c>
      <c r="H70" s="186"/>
      <c r="I70" s="187">
        <f>IFERROR(H70/G70,"")</f>
        <v>0</v>
      </c>
      <c r="J70" s="188" t="e">
        <f>SUMIF('[1]Total 2'!$I:$I,_xlfn.TEXTJOIN(" ",TRUE,'NEW ATD PER TEAM'!$D$69,'NEW ATD PER TEAM'!$D70),'[1]Total 2'!L:L)</f>
        <v>#VALUE!</v>
      </c>
      <c r="K70" s="189" t="e">
        <f>J70*68/40</f>
        <v>#VALUE!</v>
      </c>
      <c r="L70" s="190" t="e">
        <f>SUMIF('[1]Total 2'!$I:$I,_xlfn.TEXTJOIN(" ",TRUE,'NEW ATD PER TEAM'!$D$69,'NEW ATD PER TEAM'!$D70),'[1]Total 2'!O:O)</f>
        <v>#VALUE!</v>
      </c>
      <c r="M70" s="191">
        <f>IFERROR(L70/K70,0)</f>
        <v>0</v>
      </c>
      <c r="N70" s="192" t="e">
        <f>J70*68/24</f>
        <v>#VALUE!</v>
      </c>
      <c r="O70" s="193" t="e">
        <f>SUMIF('[1]Total 2'!$I:$I,_xlfn.TEXTJOIN(" ",TRUE,'NEW ATD PER TEAM'!$D$69,'NEW ATD PER TEAM'!$D70),'[1]Total 2'!R:R)</f>
        <v>#VALUE!</v>
      </c>
      <c r="P70" s="191">
        <f>IFERROR(O70/N70,0)</f>
        <v>0</v>
      </c>
      <c r="Q70" s="192" t="e">
        <f>J70*68/24</f>
        <v>#VALUE!</v>
      </c>
      <c r="R70" s="193" t="e">
        <f>SUMIF('[1]Total 2'!$I:$I,_xlfn.TEXTJOIN(" ",TRUE,'NEW ATD PER TEAM'!$D$69,'NEW ATD PER TEAM'!$D70),'[1]Total 2'!U:U)</f>
        <v>#VALUE!</v>
      </c>
      <c r="S70" s="191">
        <f>IFERROR(R70/Q70,0)</f>
        <v>0</v>
      </c>
      <c r="T70" s="192" t="e">
        <f>J70*68/12</f>
        <v>#VALUE!</v>
      </c>
      <c r="U70" s="193" t="e">
        <f>SUMIF('[1]Total 2'!$I:$I,_xlfn.TEXTJOIN(" ",TRUE,'NEW ATD PER TEAM'!$D$69,'NEW ATD PER TEAM'!$D70),'[1]Total 2'!X:X)</f>
        <v>#VALUE!</v>
      </c>
      <c r="V70" s="191">
        <f>IFERROR(U70/T70,0)</f>
        <v>0</v>
      </c>
      <c r="W70" s="192" t="e">
        <f>J70*68/12</f>
        <v>#VALUE!</v>
      </c>
      <c r="X70" s="193" t="e">
        <f>SUMIF('[1]Total 2'!$I:$I,_xlfn.TEXTJOIN(" ",TRUE,'NEW ATD PER TEAM'!$D$69,'NEW ATD PER TEAM'!$D70),'[1]Total 2'!AA:AA)</f>
        <v>#VALUE!</v>
      </c>
      <c r="Y70" s="191">
        <f>IFERROR(X70/W70,0)</f>
        <v>0</v>
      </c>
      <c r="Z70" s="197" t="e">
        <f>SUMIF('[1]Total 2'!$I:$I,_xlfn.TEXTJOIN(" ",TRUE,'NEW ATD PER TEAM'!$D$69,'NEW ATD PER TEAM'!$D70),'[1]Total 2'!AC:AC)</f>
        <v>#VALUE!</v>
      </c>
      <c r="AA70" s="253" t="e">
        <f>SUMIF('[1]Total 2'!$I:$I,_xlfn.TEXTJOIN(" ",TRUE,'NEW ATD PER TEAM'!$D$69,'NEW ATD PER TEAM'!$D70),'[1]Total 2'!AD:AD)</f>
        <v>#VALUE!</v>
      </c>
      <c r="AB70" s="196"/>
      <c r="AC70" s="197" t="e">
        <f>J70*1854*40</f>
        <v>#VALUE!</v>
      </c>
      <c r="AD70" s="198" t="e">
        <f>AA70</f>
        <v>#VALUE!</v>
      </c>
      <c r="AE70" s="199" t="str">
        <f>IFERROR(AD70/AC70,"")</f>
        <v/>
      </c>
    </row>
    <row r="71" spans="1:91" ht="24" customHeight="1">
      <c r="B71" s="182">
        <v>2</v>
      </c>
      <c r="C71" s="949"/>
      <c r="D71" s="57" t="s">
        <v>81</v>
      </c>
      <c r="E71" s="292" t="s">
        <v>113</v>
      </c>
      <c r="F71" s="288"/>
      <c r="G71" s="202">
        <v>8</v>
      </c>
      <c r="H71" s="203"/>
      <c r="I71" s="204">
        <f t="shared" ref="I71:I74" si="131">IFERROR(H71/G71,"")</f>
        <v>0</v>
      </c>
      <c r="J71" s="21" t="e">
        <f>SUMIF('[1]Total 2'!$I:$I,_xlfn.TEXTJOIN(" ",TRUE,'NEW ATD PER TEAM'!$D$69,'NEW ATD PER TEAM'!$D71),'[1]Total 2'!L:L)</f>
        <v>#VALUE!</v>
      </c>
      <c r="K71" s="105" t="e">
        <f>J71*68/40</f>
        <v>#VALUE!</v>
      </c>
      <c r="L71" s="190" t="e">
        <f>SUMIF('[1]Total 2'!$I:$I,_xlfn.TEXTJOIN(" ",TRUE,'NEW ATD PER TEAM'!$D$69,'NEW ATD PER TEAM'!$D71),'[1]Total 2'!O:O)</f>
        <v>#VALUE!</v>
      </c>
      <c r="M71" s="205">
        <f t="shared" ref="M71:M74" si="132">IFERROR(L71/K71,0)</f>
        <v>0</v>
      </c>
      <c r="N71" s="18" t="e">
        <f>J71*68/24</f>
        <v>#VALUE!</v>
      </c>
      <c r="O71" s="103" t="e">
        <f>SUMIF('[1]Total 2'!$I:$I,_xlfn.TEXTJOIN(" ",TRUE,'NEW ATD PER TEAM'!$D$69,'NEW ATD PER TEAM'!$D71),'[1]Total 2'!R:R)</f>
        <v>#VALUE!</v>
      </c>
      <c r="P71" s="205">
        <f t="shared" ref="P71:P74" si="133">IFERROR(O71/N71,0)</f>
        <v>0</v>
      </c>
      <c r="Q71" s="18" t="e">
        <f>J71*68/24</f>
        <v>#VALUE!</v>
      </c>
      <c r="R71" s="103" t="e">
        <f>SUMIF('[1]Total 2'!$I:$I,_xlfn.TEXTJOIN(" ",TRUE,'NEW ATD PER TEAM'!$D$69,'NEW ATD PER TEAM'!$D71),'[1]Total 2'!U:U)</f>
        <v>#VALUE!</v>
      </c>
      <c r="S71" s="205">
        <f t="shared" ref="S71:S74" si="134">IFERROR(R71/Q71,0)</f>
        <v>0</v>
      </c>
      <c r="T71" s="18" t="e">
        <f>J71*68/12</f>
        <v>#VALUE!</v>
      </c>
      <c r="U71" s="103" t="e">
        <f>SUMIF('[1]Total 2'!$I:$I,_xlfn.TEXTJOIN(" ",TRUE,'NEW ATD PER TEAM'!$D$69,'NEW ATD PER TEAM'!$D71),'[1]Total 2'!X:X)</f>
        <v>#VALUE!</v>
      </c>
      <c r="V71" s="205">
        <f t="shared" ref="V71:V74" si="135">IFERROR(U71/T71,0)</f>
        <v>0</v>
      </c>
      <c r="W71" s="18" t="e">
        <f>J71*68/12</f>
        <v>#VALUE!</v>
      </c>
      <c r="X71" s="103" t="e">
        <f>SUMIF('[1]Total 2'!$I:$I,_xlfn.TEXTJOIN(" ",TRUE,'NEW ATD PER TEAM'!$D$69,'NEW ATD PER TEAM'!$D71),'[1]Total 2'!AA:AA)</f>
        <v>#VALUE!</v>
      </c>
      <c r="Y71" s="205">
        <f t="shared" ref="Y71:Y74" si="136">IFERROR(X71/W71,0)</f>
        <v>0</v>
      </c>
      <c r="Z71" s="206" t="e">
        <f>SUMIF('[1]Total 2'!$I:$I,_xlfn.TEXTJOIN(" ",TRUE,'NEW ATD PER TEAM'!$D$69,'NEW ATD PER TEAM'!$D71),'[1]Total 2'!AC:AC)</f>
        <v>#VALUE!</v>
      </c>
      <c r="AA71" s="207" t="e">
        <f>SUMIF('[1]Total 2'!$I:$I,_xlfn.TEXTJOIN(" ",TRUE,'NEW ATD PER TEAM'!$D$69,'NEW ATD PER TEAM'!$D71),'[1]Total 2'!AD:AD)</f>
        <v>#VALUE!</v>
      </c>
      <c r="AB71" s="208"/>
      <c r="AC71" s="206" t="e">
        <f>J71*1854*40</f>
        <v>#VALUE!</v>
      </c>
      <c r="AD71" s="25" t="e">
        <f t="shared" ref="AD71:AD73" si="137">AA71</f>
        <v>#VALUE!</v>
      </c>
      <c r="AE71" s="104" t="str">
        <f t="shared" ref="AE71:AE74" si="138">IFERROR(AD71/AC71,"")</f>
        <v/>
      </c>
    </row>
    <row r="72" spans="1:91" ht="15.75" customHeight="1">
      <c r="B72" s="182">
        <v>3</v>
      </c>
      <c r="C72" s="949"/>
      <c r="D72" s="57" t="s">
        <v>83</v>
      </c>
      <c r="E72" s="254" t="s">
        <v>114</v>
      </c>
      <c r="F72" s="288"/>
      <c r="G72" s="202">
        <v>8</v>
      </c>
      <c r="H72" s="203"/>
      <c r="I72" s="204">
        <f t="shared" si="131"/>
        <v>0</v>
      </c>
      <c r="J72" s="21" t="e">
        <f>SUMIF('[1]Total 2'!$I:$I,_xlfn.TEXTJOIN(" ",TRUE,'NEW ATD PER TEAM'!$D$69,'NEW ATD PER TEAM'!$D72),'[1]Total 2'!L:L)</f>
        <v>#VALUE!</v>
      </c>
      <c r="K72" s="105" t="e">
        <f>J72*68/40</f>
        <v>#VALUE!</v>
      </c>
      <c r="L72" s="190" t="e">
        <f>SUMIF('[1]Total 2'!$I:$I,_xlfn.TEXTJOIN(" ",TRUE,'NEW ATD PER TEAM'!$D$69,'NEW ATD PER TEAM'!$D72),'[1]Total 2'!O:O)</f>
        <v>#VALUE!</v>
      </c>
      <c r="M72" s="205">
        <f t="shared" si="132"/>
        <v>0</v>
      </c>
      <c r="N72" s="18" t="e">
        <f>J72*68/24</f>
        <v>#VALUE!</v>
      </c>
      <c r="O72" s="103" t="e">
        <f>SUMIF('[1]Total 2'!$I:$I,_xlfn.TEXTJOIN(" ",TRUE,'NEW ATD PER TEAM'!$D$69,'NEW ATD PER TEAM'!$D72),'[1]Total 2'!R:R)</f>
        <v>#VALUE!</v>
      </c>
      <c r="P72" s="205">
        <f t="shared" si="133"/>
        <v>0</v>
      </c>
      <c r="Q72" s="18" t="e">
        <f>J72*68/24</f>
        <v>#VALUE!</v>
      </c>
      <c r="R72" s="103" t="e">
        <f>SUMIF('[1]Total 2'!$I:$I,_xlfn.TEXTJOIN(" ",TRUE,'NEW ATD PER TEAM'!$D$69,'NEW ATD PER TEAM'!$D72),'[1]Total 2'!U:U)</f>
        <v>#VALUE!</v>
      </c>
      <c r="S72" s="205">
        <f t="shared" si="134"/>
        <v>0</v>
      </c>
      <c r="T72" s="18" t="e">
        <f>J72*68/12</f>
        <v>#VALUE!</v>
      </c>
      <c r="U72" s="103" t="e">
        <f>SUMIF('[1]Total 2'!$I:$I,_xlfn.TEXTJOIN(" ",TRUE,'NEW ATD PER TEAM'!$D$69,'NEW ATD PER TEAM'!$D72),'[1]Total 2'!X:X)</f>
        <v>#VALUE!</v>
      </c>
      <c r="V72" s="205">
        <f t="shared" si="135"/>
        <v>0</v>
      </c>
      <c r="W72" s="18" t="e">
        <f>J72*68/12</f>
        <v>#VALUE!</v>
      </c>
      <c r="X72" s="103" t="e">
        <f>SUMIF('[1]Total 2'!$I:$I,_xlfn.TEXTJOIN(" ",TRUE,'NEW ATD PER TEAM'!$D$69,'NEW ATD PER TEAM'!$D72),'[1]Total 2'!AA:AA)</f>
        <v>#VALUE!</v>
      </c>
      <c r="Y72" s="205">
        <f t="shared" si="136"/>
        <v>0</v>
      </c>
      <c r="Z72" s="206" t="e">
        <f>SUMIF('[1]Total 2'!$I:$I,_xlfn.TEXTJOIN(" ",TRUE,'NEW ATD PER TEAM'!$D$69,'NEW ATD PER TEAM'!$D72),'[1]Total 2'!AC:AC)</f>
        <v>#VALUE!</v>
      </c>
      <c r="AA72" s="207" t="e">
        <f>SUMIF('[1]Total 2'!$I:$I,_xlfn.TEXTJOIN(" ",TRUE,'NEW ATD PER TEAM'!$D$69,'NEW ATD PER TEAM'!$D72),'[1]Total 2'!AD:AD)</f>
        <v>#VALUE!</v>
      </c>
      <c r="AB72" s="208"/>
      <c r="AC72" s="206" t="e">
        <f>J72*1854*40</f>
        <v>#VALUE!</v>
      </c>
      <c r="AD72" s="25" t="e">
        <f t="shared" si="137"/>
        <v>#VALUE!</v>
      </c>
      <c r="AE72" s="104" t="str">
        <f t="shared" si="138"/>
        <v/>
      </c>
    </row>
    <row r="73" spans="1:91" ht="15.75" customHeight="1" thickBot="1">
      <c r="B73" s="276">
        <v>4</v>
      </c>
      <c r="C73" s="949"/>
      <c r="D73" s="209" t="s">
        <v>85</v>
      </c>
      <c r="E73" s="210"/>
      <c r="F73" s="211"/>
      <c r="G73" s="212">
        <v>8</v>
      </c>
      <c r="H73" s="213"/>
      <c r="I73" s="214">
        <f t="shared" si="131"/>
        <v>0</v>
      </c>
      <c r="J73" s="215" t="e">
        <f>SUMIF('[1]Total 2'!$I:$I,_xlfn.TEXTJOIN(" ",TRUE,'NEW ATD PER TEAM'!$D$69,'NEW ATD PER TEAM'!$D73),'[1]Total 2'!L:L)</f>
        <v>#VALUE!</v>
      </c>
      <c r="K73" s="112" t="e">
        <f>J73*68/40</f>
        <v>#VALUE!</v>
      </c>
      <c r="L73" s="190" t="e">
        <f>SUMIF('[1]Total 2'!$I:$I,_xlfn.TEXTJOIN(" ",TRUE,'NEW ATD PER TEAM'!$D$69,'NEW ATD PER TEAM'!$D73),'[1]Total 2'!O:O)</f>
        <v>#VALUE!</v>
      </c>
      <c r="M73" s="216">
        <f t="shared" si="132"/>
        <v>0</v>
      </c>
      <c r="N73" s="109" t="e">
        <f>J73*68/24</f>
        <v>#VALUE!</v>
      </c>
      <c r="O73" s="110" t="e">
        <f>SUMIF('[1]Total 2'!$I:$I,_xlfn.TEXTJOIN(" ",TRUE,'NEW ATD PER TEAM'!$D$69,'NEW ATD PER TEAM'!$D73),'[1]Total 2'!R:R)</f>
        <v>#VALUE!</v>
      </c>
      <c r="P73" s="216">
        <f t="shared" si="133"/>
        <v>0</v>
      </c>
      <c r="Q73" s="109" t="e">
        <f>J73*68/24</f>
        <v>#VALUE!</v>
      </c>
      <c r="R73" s="110" t="e">
        <f>SUMIF('[1]Total 2'!$I:$I,_xlfn.TEXTJOIN(" ",TRUE,'NEW ATD PER TEAM'!$D$69,'NEW ATD PER TEAM'!$D73),'[1]Total 2'!U:U)</f>
        <v>#VALUE!</v>
      </c>
      <c r="S73" s="216">
        <f t="shared" si="134"/>
        <v>0</v>
      </c>
      <c r="T73" s="109" t="e">
        <f>J73*68/12</f>
        <v>#VALUE!</v>
      </c>
      <c r="U73" s="110" t="e">
        <f>SUMIF('[1]Total 2'!$I:$I,_xlfn.TEXTJOIN(" ",TRUE,'NEW ATD PER TEAM'!$D$69,'NEW ATD PER TEAM'!$D73),'[1]Total 2'!X:X)</f>
        <v>#VALUE!</v>
      </c>
      <c r="V73" s="216">
        <f t="shared" si="135"/>
        <v>0</v>
      </c>
      <c r="W73" s="109" t="e">
        <f>J73*68/12</f>
        <v>#VALUE!</v>
      </c>
      <c r="X73" s="110" t="e">
        <f>SUMIF('[1]Total 2'!$I:$I,_xlfn.TEXTJOIN(" ",TRUE,'NEW ATD PER TEAM'!$D$69,'NEW ATD PER TEAM'!$D73),'[1]Total 2'!AA:AA)</f>
        <v>#VALUE!</v>
      </c>
      <c r="Y73" s="216">
        <f t="shared" si="136"/>
        <v>0</v>
      </c>
      <c r="Z73" s="217" t="e">
        <f>SUMIF('[1]Total 2'!$I:$I,_xlfn.TEXTJOIN(" ",TRUE,'NEW ATD PER TEAM'!$D$69,'NEW ATD PER TEAM'!$D73),'[1]Total 2'!AC:AC)</f>
        <v>#VALUE!</v>
      </c>
      <c r="AA73" s="218" t="e">
        <f>SUMIF('[1]Total 2'!$I:$I,_xlfn.TEXTJOIN(" ",TRUE,'NEW ATD PER TEAM'!$D$69,'NEW ATD PER TEAM'!$D73),'[1]Total 2'!AD:AD)</f>
        <v>#VALUE!</v>
      </c>
      <c r="AB73" s="219"/>
      <c r="AC73" s="267" t="e">
        <f>J73*1854*40</f>
        <v>#VALUE!</v>
      </c>
      <c r="AD73" s="220" t="e">
        <f t="shared" si="137"/>
        <v>#VALUE!</v>
      </c>
      <c r="AE73" s="268" t="str">
        <f t="shared" si="138"/>
        <v/>
      </c>
    </row>
    <row r="74" spans="1:91" ht="16.2" thickBot="1">
      <c r="B74" s="277"/>
      <c r="C74" s="293"/>
      <c r="D74" s="279"/>
      <c r="E74" s="280" t="s">
        <v>70</v>
      </c>
      <c r="F74" s="274"/>
      <c r="G74" s="224">
        <f>SUM(G70:G73)</f>
        <v>32</v>
      </c>
      <c r="H74" s="224">
        <f>SUM(H70:H73)</f>
        <v>0</v>
      </c>
      <c r="I74" s="225">
        <f t="shared" si="131"/>
        <v>0</v>
      </c>
      <c r="J74" s="226" t="e">
        <f>SUM(J70:J73)</f>
        <v>#VALUE!</v>
      </c>
      <c r="K74" s="262" t="e">
        <f t="shared" ref="K74:L74" si="139">SUM(K70:K73)</f>
        <v>#VALUE!</v>
      </c>
      <c r="L74" s="272" t="e">
        <f t="shared" si="139"/>
        <v>#VALUE!</v>
      </c>
      <c r="M74" s="273">
        <f t="shared" si="132"/>
        <v>0</v>
      </c>
      <c r="N74" s="226" t="e">
        <f t="shared" ref="N74:O74" si="140">SUM(N70:N73)</f>
        <v>#VALUE!</v>
      </c>
      <c r="O74" s="274" t="e">
        <f t="shared" si="140"/>
        <v>#VALUE!</v>
      </c>
      <c r="P74" s="273">
        <f t="shared" si="133"/>
        <v>0</v>
      </c>
      <c r="Q74" s="226" t="e">
        <f t="shared" ref="Q74:R74" si="141">SUM(Q70:Q73)</f>
        <v>#VALUE!</v>
      </c>
      <c r="R74" s="274" t="e">
        <f t="shared" si="141"/>
        <v>#VALUE!</v>
      </c>
      <c r="S74" s="273">
        <f t="shared" si="134"/>
        <v>0</v>
      </c>
      <c r="T74" s="226" t="e">
        <f t="shared" ref="T74:U74" si="142">SUM(T70:T73)</f>
        <v>#VALUE!</v>
      </c>
      <c r="U74" s="274" t="e">
        <f t="shared" si="142"/>
        <v>#VALUE!</v>
      </c>
      <c r="V74" s="273">
        <f t="shared" si="135"/>
        <v>0</v>
      </c>
      <c r="W74" s="226" t="e">
        <f t="shared" ref="W74:X74" si="143">SUM(W70:W73)</f>
        <v>#VALUE!</v>
      </c>
      <c r="X74" s="274" t="e">
        <f t="shared" si="143"/>
        <v>#VALUE!</v>
      </c>
      <c r="Y74" s="273">
        <f t="shared" si="136"/>
        <v>0</v>
      </c>
      <c r="Z74" s="232" t="e">
        <f>SUM(Z70:Z73)</f>
        <v>#VALUE!</v>
      </c>
      <c r="AA74" s="232" t="e">
        <f>SUM(AA70:AA73)</f>
        <v>#VALUE!</v>
      </c>
      <c r="AB74" s="233">
        <f t="shared" ref="AB74:AD74" si="144">SUM(AB70:AB73)</f>
        <v>0</v>
      </c>
      <c r="AC74" s="234" t="e">
        <f t="shared" si="144"/>
        <v>#VALUE!</v>
      </c>
      <c r="AD74" s="235" t="e">
        <f t="shared" si="144"/>
        <v>#VALUE!</v>
      </c>
      <c r="AE74" s="236" t="str">
        <f t="shared" si="138"/>
        <v/>
      </c>
    </row>
    <row r="75" spans="1:91" ht="16.5" customHeight="1" thickBot="1">
      <c r="B75" s="281"/>
      <c r="C75" s="948" t="s">
        <v>115</v>
      </c>
      <c r="D75" s="170" t="s">
        <v>116</v>
      </c>
      <c r="E75" s="241"/>
      <c r="F75" s="294" t="s">
        <v>54</v>
      </c>
      <c r="G75" s="295"/>
      <c r="H75" s="295"/>
      <c r="I75" s="296"/>
      <c r="J75" s="239"/>
      <c r="K75" s="239"/>
      <c r="L75" s="239"/>
      <c r="M75" s="297"/>
      <c r="N75" s="239"/>
      <c r="O75" s="239"/>
      <c r="P75" s="242"/>
      <c r="Q75" s="241"/>
      <c r="R75" s="241"/>
      <c r="S75" s="242"/>
      <c r="T75" s="298"/>
      <c r="U75" s="298"/>
      <c r="V75" s="240"/>
      <c r="W75" s="299"/>
      <c r="X75" s="299"/>
      <c r="Y75" s="242"/>
      <c r="Z75" s="180"/>
      <c r="AA75" s="180"/>
      <c r="AB75" s="300"/>
      <c r="AC75" s="263"/>
      <c r="AD75" s="263"/>
      <c r="AE75" s="264"/>
    </row>
    <row r="76" spans="1:91" ht="16.5" customHeight="1">
      <c r="B76" s="182">
        <v>1</v>
      </c>
      <c r="C76" s="949"/>
      <c r="D76" s="97" t="s">
        <v>79</v>
      </c>
      <c r="E76" s="260" t="s">
        <v>117</v>
      </c>
      <c r="F76" s="301"/>
      <c r="G76" s="185">
        <v>8</v>
      </c>
      <c r="H76" s="186">
        <v>4</v>
      </c>
      <c r="I76" s="187">
        <f>IFERROR(H76/G76,"")</f>
        <v>0.5</v>
      </c>
      <c r="J76" s="188" t="e">
        <f>SUMIF('[1]Total 2'!$I:$I,_xlfn.TEXTJOIN(" ",TRUE,'NEW ATD PER TEAM'!$D$75,'NEW ATD PER TEAM'!$D76),'[1]Total 2'!L:L)</f>
        <v>#VALUE!</v>
      </c>
      <c r="K76" s="302" t="e">
        <f>J76*68/40</f>
        <v>#VALUE!</v>
      </c>
      <c r="L76" s="303" t="e">
        <f>SUMIF('[1]Total 2'!$I:$I,_xlfn.TEXTJOIN(" ",TRUE,'NEW ATD PER TEAM'!$D$75,'NEW ATD PER TEAM'!$D76),'[1]Total 2'!O:O)</f>
        <v>#VALUE!</v>
      </c>
      <c r="M76" s="304">
        <f>IFERROR(L76/K76,0)</f>
        <v>0</v>
      </c>
      <c r="N76" s="305" t="e">
        <f>J76*68/24</f>
        <v>#VALUE!</v>
      </c>
      <c r="O76" s="184" t="e">
        <f>SUMIF('[1]Total 2'!$I:$I,_xlfn.TEXTJOIN(" ",TRUE,'NEW ATD PER TEAM'!$D$75,'NEW ATD PER TEAM'!$D76),'[1]Total 2'!R:R)</f>
        <v>#VALUE!</v>
      </c>
      <c r="P76" s="191">
        <f>IFERROR(O76/N76,0)</f>
        <v>0</v>
      </c>
      <c r="Q76" s="192" t="e">
        <f>J76*68/24</f>
        <v>#VALUE!</v>
      </c>
      <c r="R76" s="193" t="e">
        <f>SUMIF('[1]Total 2'!$I:$I,_xlfn.TEXTJOIN(" ",TRUE,'NEW ATD PER TEAM'!$D$75,'NEW ATD PER TEAM'!$D76),'[1]Total 2'!U:U)</f>
        <v>#VALUE!</v>
      </c>
      <c r="S76" s="191">
        <f>IFERROR(R76/Q76,0)</f>
        <v>0</v>
      </c>
      <c r="T76" s="306" t="e">
        <f>J76*68/12</f>
        <v>#VALUE!</v>
      </c>
      <c r="U76" s="307" t="e">
        <f>SUMIF('[1]Total 2'!$I:$I,_xlfn.TEXTJOIN(" ",TRUE,'NEW ATD PER TEAM'!$D$75,'NEW ATD PER TEAM'!$D76),'[1]Total 2'!X:X)</f>
        <v>#VALUE!</v>
      </c>
      <c r="V76" s="308">
        <f>IFERROR(U76/T76,0)</f>
        <v>0</v>
      </c>
      <c r="W76" s="309" t="e">
        <f>J76*68/12</f>
        <v>#VALUE!</v>
      </c>
      <c r="X76" s="310" t="e">
        <f>SUMIF('[1]Total 2'!$I:$I,_xlfn.TEXTJOIN(" ",TRUE,'NEW ATD PER TEAM'!$D$75,'NEW ATD PER TEAM'!$D76),'[1]Total 2'!AA:AA)</f>
        <v>#VALUE!</v>
      </c>
      <c r="Y76" s="191">
        <f>IFERROR(X76/W76,0)</f>
        <v>0</v>
      </c>
      <c r="Z76" s="197" t="e">
        <f>SUMIF('[1]Total 2'!$I:$I,_xlfn.TEXTJOIN(" ",TRUE,'NEW ATD PER TEAM'!$D$75,'NEW ATD PER TEAM'!$D76),'[1]Total 2'!AC:AC)</f>
        <v>#VALUE!</v>
      </c>
      <c r="AA76" s="253" t="e">
        <f>SUMIF('[1]Total 2'!$I:$I,_xlfn.TEXTJOIN(" ",TRUE,'NEW ATD PER TEAM'!$D$75,'NEW ATD PER TEAM'!$D76),'[1]Total 2'!AD:AD)</f>
        <v>#VALUE!</v>
      </c>
      <c r="AB76" s="311"/>
      <c r="AC76" s="312" t="e">
        <f>J76*1854*40</f>
        <v>#VALUE!</v>
      </c>
      <c r="AD76" s="198" t="e">
        <f>AA76</f>
        <v>#VALUE!</v>
      </c>
      <c r="AE76" s="199" t="str">
        <f>IFERROR(AD76/AC76,"")</f>
        <v/>
      </c>
    </row>
    <row r="77" spans="1:91" ht="16.5" customHeight="1">
      <c r="B77" s="182">
        <v>2</v>
      </c>
      <c r="C77" s="949"/>
      <c r="D77" s="57" t="s">
        <v>81</v>
      </c>
      <c r="E77" s="313" t="s">
        <v>118</v>
      </c>
      <c r="F77" s="314"/>
      <c r="G77" s="202">
        <v>8</v>
      </c>
      <c r="H77" s="203">
        <v>4</v>
      </c>
      <c r="I77" s="204">
        <f t="shared" ref="I77:I80" si="145">IFERROR(H77/G77,"")</f>
        <v>0.5</v>
      </c>
      <c r="J77" s="21" t="e">
        <f>SUMIF('[1]Total 2'!$I:$I,_xlfn.TEXTJOIN(" ",TRUE,'NEW ATD PER TEAM'!$D$75,'NEW ATD PER TEAM'!$D77),'[1]Total 2'!L:L)</f>
        <v>#VALUE!</v>
      </c>
      <c r="K77" s="203" t="e">
        <f>J77*68/40</f>
        <v>#VALUE!</v>
      </c>
      <c r="L77" s="303" t="e">
        <f>SUMIF('[1]Total 2'!$I:$I,_xlfn.TEXTJOIN(" ",TRUE,'NEW ATD PER TEAM'!$D$75,'NEW ATD PER TEAM'!$D77),'[1]Total 2'!O:O)</f>
        <v>#VALUE!</v>
      </c>
      <c r="M77" s="315">
        <f t="shared" ref="M77:M80" si="146">IFERROR(L77/K77,0)</f>
        <v>0</v>
      </c>
      <c r="N77" s="21" t="e">
        <f>J77*68/24</f>
        <v>#VALUE!</v>
      </c>
      <c r="O77" s="316" t="e">
        <f>SUMIF('[1]Total 2'!$I:$I,_xlfn.TEXTJOIN(" ",TRUE,'NEW ATD PER TEAM'!$D$75,'NEW ATD PER TEAM'!$D77),'[1]Total 2'!R:R)</f>
        <v>#VALUE!</v>
      </c>
      <c r="P77" s="205">
        <f t="shared" ref="P77:P80" si="147">IFERROR(O77/N77,0)</f>
        <v>0</v>
      </c>
      <c r="Q77" s="18" t="e">
        <f>J77*68/24</f>
        <v>#VALUE!</v>
      </c>
      <c r="R77" s="103" t="e">
        <f>SUMIF('[1]Total 2'!$I:$I,_xlfn.TEXTJOIN(" ",TRUE,'NEW ATD PER TEAM'!$D$75,'NEW ATD PER TEAM'!$D77),'[1]Total 2'!U:U)</f>
        <v>#VALUE!</v>
      </c>
      <c r="S77" s="205">
        <f t="shared" ref="S77:S80" si="148">IFERROR(R77/Q77,0)</f>
        <v>0</v>
      </c>
      <c r="T77" s="317" t="e">
        <f>J77*68/12</f>
        <v>#VALUE!</v>
      </c>
      <c r="U77" s="318" t="e">
        <f>SUMIF('[1]Total 2'!$I:$I,_xlfn.TEXTJOIN(" ",TRUE,'NEW ATD PER TEAM'!$D$75,'NEW ATD PER TEAM'!$D77),'[1]Total 2'!X:X)</f>
        <v>#VALUE!</v>
      </c>
      <c r="V77" s="319">
        <f t="shared" ref="V77:V80" si="149">IFERROR(U77/T77,0)</f>
        <v>0</v>
      </c>
      <c r="W77" s="320" t="e">
        <f>J77*68/12</f>
        <v>#VALUE!</v>
      </c>
      <c r="X77" s="321" t="e">
        <f>SUMIF('[1]Total 2'!$I:$I,_xlfn.TEXTJOIN(" ",TRUE,'NEW ATD PER TEAM'!$D$75,'NEW ATD PER TEAM'!$D77),'[1]Total 2'!AA:AA)</f>
        <v>#VALUE!</v>
      </c>
      <c r="Y77" s="205">
        <f t="shared" ref="Y77:Y80" si="150">IFERROR(X77/W77,0)</f>
        <v>0</v>
      </c>
      <c r="Z77" s="206" t="e">
        <f>SUMIF('[1]Total 2'!$I:$I,_xlfn.TEXTJOIN(" ",TRUE,'NEW ATD PER TEAM'!$D$75,'NEW ATD PER TEAM'!$D77),'[1]Total 2'!AC:AC)</f>
        <v>#VALUE!</v>
      </c>
      <c r="AA77" s="207" t="e">
        <f>SUMIF('[1]Total 2'!$I:$I,_xlfn.TEXTJOIN(" ",TRUE,'NEW ATD PER TEAM'!$D$75,'NEW ATD PER TEAM'!$D77),'[1]Total 2'!AD:AD)</f>
        <v>#VALUE!</v>
      </c>
      <c r="AB77" s="322"/>
      <c r="AC77" s="107" t="e">
        <f>J77*1854*40</f>
        <v>#VALUE!</v>
      </c>
      <c r="AD77" s="25" t="e">
        <f t="shared" ref="AD77:AD79" si="151">AA77</f>
        <v>#VALUE!</v>
      </c>
      <c r="AE77" s="104" t="str">
        <f t="shared" ref="AE77:AE80" si="152">IFERROR(AD77/AC77,"")</f>
        <v/>
      </c>
    </row>
    <row r="78" spans="1:91" ht="16.5" customHeight="1">
      <c r="B78" s="182">
        <v>3</v>
      </c>
      <c r="C78" s="949"/>
      <c r="D78" s="57" t="s">
        <v>83</v>
      </c>
      <c r="E78" s="313" t="s">
        <v>119</v>
      </c>
      <c r="F78" s="314"/>
      <c r="G78" s="202">
        <v>8</v>
      </c>
      <c r="H78" s="203">
        <v>4</v>
      </c>
      <c r="I78" s="204">
        <f t="shared" si="145"/>
        <v>0.5</v>
      </c>
      <c r="J78" s="21" t="e">
        <f>SUMIF('[1]Total 2'!$I:$I,_xlfn.TEXTJOIN(" ",TRUE,'NEW ATD PER TEAM'!$D$75,'NEW ATD PER TEAM'!$D78),'[1]Total 2'!L:L)</f>
        <v>#VALUE!</v>
      </c>
      <c r="K78" s="203" t="e">
        <f>J78*68/40</f>
        <v>#VALUE!</v>
      </c>
      <c r="L78" s="303" t="e">
        <f>SUMIF('[1]Total 2'!$I:$I,_xlfn.TEXTJOIN(" ",TRUE,'NEW ATD PER TEAM'!$D$75,'NEW ATD PER TEAM'!$D78),'[1]Total 2'!O:O)</f>
        <v>#VALUE!</v>
      </c>
      <c r="M78" s="315">
        <f t="shared" si="146"/>
        <v>0</v>
      </c>
      <c r="N78" s="21" t="e">
        <f>J78*68/24</f>
        <v>#VALUE!</v>
      </c>
      <c r="O78" s="316" t="e">
        <f>SUMIF('[1]Total 2'!$I:$I,_xlfn.TEXTJOIN(" ",TRUE,'NEW ATD PER TEAM'!$D$75,'NEW ATD PER TEAM'!$D78),'[1]Total 2'!R:R)</f>
        <v>#VALUE!</v>
      </c>
      <c r="P78" s="205">
        <f t="shared" si="147"/>
        <v>0</v>
      </c>
      <c r="Q78" s="18" t="e">
        <f>J78*68/24</f>
        <v>#VALUE!</v>
      </c>
      <c r="R78" s="103" t="e">
        <f>SUMIF('[1]Total 2'!$I:$I,_xlfn.TEXTJOIN(" ",TRUE,'NEW ATD PER TEAM'!$D$75,'NEW ATD PER TEAM'!$D78),'[1]Total 2'!U:U)</f>
        <v>#VALUE!</v>
      </c>
      <c r="S78" s="205">
        <f t="shared" si="148"/>
        <v>0</v>
      </c>
      <c r="T78" s="317" t="e">
        <f>J78*68/12</f>
        <v>#VALUE!</v>
      </c>
      <c r="U78" s="318" t="e">
        <f>SUMIF('[1]Total 2'!$I:$I,_xlfn.TEXTJOIN(" ",TRUE,'NEW ATD PER TEAM'!$D$75,'NEW ATD PER TEAM'!$D78),'[1]Total 2'!X:X)</f>
        <v>#VALUE!</v>
      </c>
      <c r="V78" s="319">
        <f t="shared" si="149"/>
        <v>0</v>
      </c>
      <c r="W78" s="320" t="e">
        <f>J78*68/12</f>
        <v>#VALUE!</v>
      </c>
      <c r="X78" s="321" t="e">
        <f>SUMIF('[1]Total 2'!$I:$I,_xlfn.TEXTJOIN(" ",TRUE,'NEW ATD PER TEAM'!$D$75,'NEW ATD PER TEAM'!$D78),'[1]Total 2'!AA:AA)</f>
        <v>#VALUE!</v>
      </c>
      <c r="Y78" s="205">
        <f t="shared" si="150"/>
        <v>0</v>
      </c>
      <c r="Z78" s="206" t="e">
        <f>SUMIF('[1]Total 2'!$I:$I,_xlfn.TEXTJOIN(" ",TRUE,'NEW ATD PER TEAM'!$D$75,'NEW ATD PER TEAM'!$D78),'[1]Total 2'!AC:AC)</f>
        <v>#VALUE!</v>
      </c>
      <c r="AA78" s="207" t="e">
        <f>SUMIF('[1]Total 2'!$I:$I,_xlfn.TEXTJOIN(" ",TRUE,'NEW ATD PER TEAM'!$D$75,'NEW ATD PER TEAM'!$D78),'[1]Total 2'!AD:AD)</f>
        <v>#VALUE!</v>
      </c>
      <c r="AB78" s="322"/>
      <c r="AC78" s="107" t="e">
        <f>J78*1854*40</f>
        <v>#VALUE!</v>
      </c>
      <c r="AD78" s="25" t="e">
        <f t="shared" si="151"/>
        <v>#VALUE!</v>
      </c>
      <c r="AE78" s="104" t="str">
        <f t="shared" si="152"/>
        <v/>
      </c>
    </row>
    <row r="79" spans="1:91" ht="16.5" customHeight="1" thickBot="1">
      <c r="B79" s="182">
        <v>4</v>
      </c>
      <c r="C79" s="949"/>
      <c r="D79" s="209" t="s">
        <v>85</v>
      </c>
      <c r="E79" s="323" t="s">
        <v>120</v>
      </c>
      <c r="F79" s="314"/>
      <c r="G79" s="212">
        <v>8</v>
      </c>
      <c r="H79" s="213">
        <v>4</v>
      </c>
      <c r="I79" s="214">
        <f t="shared" si="145"/>
        <v>0.5</v>
      </c>
      <c r="J79" s="215" t="e">
        <f>SUMIF('[1]Total 2'!$I:$I,_xlfn.TEXTJOIN(" ",TRUE,'NEW ATD PER TEAM'!$D$75,'NEW ATD PER TEAM'!$D79),'[1]Total 2'!L:L)</f>
        <v>#VALUE!</v>
      </c>
      <c r="K79" s="213" t="e">
        <f>J79*68/40</f>
        <v>#VALUE!</v>
      </c>
      <c r="L79" s="303" t="e">
        <f>SUMIF('[1]Total 2'!$I:$I,_xlfn.TEXTJOIN(" ",TRUE,'NEW ATD PER TEAM'!$D$75,'NEW ATD PER TEAM'!$D79),'[1]Total 2'!O:O)</f>
        <v>#VALUE!</v>
      </c>
      <c r="M79" s="324">
        <f t="shared" si="146"/>
        <v>0</v>
      </c>
      <c r="N79" s="215" t="e">
        <f>J79*68/24</f>
        <v>#VALUE!</v>
      </c>
      <c r="O79" s="325" t="e">
        <f>SUMIF('[1]Total 2'!$I:$I,_xlfn.TEXTJOIN(" ",TRUE,'NEW ATD PER TEAM'!$D$75,'NEW ATD PER TEAM'!$D79),'[1]Total 2'!R:R)</f>
        <v>#VALUE!</v>
      </c>
      <c r="P79" s="216">
        <f t="shared" si="147"/>
        <v>0</v>
      </c>
      <c r="Q79" s="109" t="e">
        <f>J79*68/24</f>
        <v>#VALUE!</v>
      </c>
      <c r="R79" s="110" t="e">
        <f>SUMIF('[1]Total 2'!$I:$I,_xlfn.TEXTJOIN(" ",TRUE,'NEW ATD PER TEAM'!$D$75,'NEW ATD PER TEAM'!$D79),'[1]Total 2'!U:U)</f>
        <v>#VALUE!</v>
      </c>
      <c r="S79" s="216">
        <f t="shared" si="148"/>
        <v>0</v>
      </c>
      <c r="T79" s="326" t="e">
        <f>J79*68/12</f>
        <v>#VALUE!</v>
      </c>
      <c r="U79" s="327" t="e">
        <f>SUMIF('[1]Total 2'!$I:$I,_xlfn.TEXTJOIN(" ",TRUE,'NEW ATD PER TEAM'!$D$75,'NEW ATD PER TEAM'!$D79),'[1]Total 2'!X:X)</f>
        <v>#VALUE!</v>
      </c>
      <c r="V79" s="328">
        <f t="shared" si="149"/>
        <v>0</v>
      </c>
      <c r="W79" s="329" t="e">
        <f>J79*68/12</f>
        <v>#VALUE!</v>
      </c>
      <c r="X79" s="330" t="e">
        <f>SUMIF('[1]Total 2'!$I:$I,_xlfn.TEXTJOIN(" ",TRUE,'NEW ATD PER TEAM'!$D$75,'NEW ATD PER TEAM'!$D79),'[1]Total 2'!AA:AA)</f>
        <v>#VALUE!</v>
      </c>
      <c r="Y79" s="216">
        <f t="shared" si="150"/>
        <v>0</v>
      </c>
      <c r="Z79" s="217" t="e">
        <f>SUMIF('[1]Total 2'!$I:$I,_xlfn.TEXTJOIN(" ",TRUE,'NEW ATD PER TEAM'!$D$75,'NEW ATD PER TEAM'!$D79),'[1]Total 2'!AC:AC)</f>
        <v>#VALUE!</v>
      </c>
      <c r="AA79" s="218" t="e">
        <f>SUMIF('[1]Total 2'!$I:$I,_xlfn.TEXTJOIN(" ",TRUE,'NEW ATD PER TEAM'!$D$75,'NEW ATD PER TEAM'!$D79),'[1]Total 2'!AD:AD)</f>
        <v>#VALUE!</v>
      </c>
      <c r="AB79" s="331"/>
      <c r="AC79" s="332" t="e">
        <f>J79*1854*40</f>
        <v>#VALUE!</v>
      </c>
      <c r="AD79" s="220" t="e">
        <f t="shared" si="151"/>
        <v>#VALUE!</v>
      </c>
      <c r="AE79" s="268" t="str">
        <f t="shared" si="152"/>
        <v/>
      </c>
    </row>
    <row r="80" spans="1:91" s="342" customFormat="1" ht="16.2" thickBot="1">
      <c r="A80"/>
      <c r="B80" s="153"/>
      <c r="C80" s="949"/>
      <c r="D80" s="333"/>
      <c r="E80" s="222" t="s">
        <v>70</v>
      </c>
      <c r="F80" s="334"/>
      <c r="G80" s="224">
        <f>SUM(G76:G79)</f>
        <v>32</v>
      </c>
      <c r="H80" s="224">
        <f>SUM(H76:H79)</f>
        <v>16</v>
      </c>
      <c r="I80" s="225">
        <f t="shared" si="145"/>
        <v>0.5</v>
      </c>
      <c r="J80" s="226" t="e">
        <f>SUM(J76:J79)</f>
        <v>#VALUE!</v>
      </c>
      <c r="K80" s="335" t="e">
        <f t="shared" ref="K80:L80" si="153">SUM(K76:K79)</f>
        <v>#VALUE!</v>
      </c>
      <c r="L80" s="336" t="e">
        <f t="shared" si="153"/>
        <v>#VALUE!</v>
      </c>
      <c r="M80" s="337">
        <f t="shared" si="146"/>
        <v>0</v>
      </c>
      <c r="N80" s="289" t="e">
        <f t="shared" ref="N80:O80" si="154">SUM(N76:N79)</f>
        <v>#VALUE!</v>
      </c>
      <c r="O80" s="290" t="e">
        <f t="shared" si="154"/>
        <v>#VALUE!</v>
      </c>
      <c r="P80" s="291">
        <f t="shared" si="147"/>
        <v>0</v>
      </c>
      <c r="Q80" s="289" t="e">
        <f t="shared" ref="Q80:R80" si="155">SUM(Q76:Q79)</f>
        <v>#VALUE!</v>
      </c>
      <c r="R80" s="290" t="e">
        <f t="shared" si="155"/>
        <v>#VALUE!</v>
      </c>
      <c r="S80" s="291">
        <f t="shared" si="148"/>
        <v>0</v>
      </c>
      <c r="T80" s="338" t="e">
        <f t="shared" ref="T80:U80" si="156">SUM(T76:T79)</f>
        <v>#VALUE!</v>
      </c>
      <c r="U80" s="339" t="e">
        <f t="shared" si="156"/>
        <v>#VALUE!</v>
      </c>
      <c r="V80" s="291">
        <f t="shared" si="149"/>
        <v>0</v>
      </c>
      <c r="W80" s="289" t="e">
        <f t="shared" ref="W80:X80" si="157">SUM(W76:W79)</f>
        <v>#VALUE!</v>
      </c>
      <c r="X80" s="290" t="e">
        <f t="shared" si="157"/>
        <v>#VALUE!</v>
      </c>
      <c r="Y80" s="337">
        <f t="shared" si="150"/>
        <v>0</v>
      </c>
      <c r="Z80" s="234" t="e">
        <f>SUM(Z76:Z79)</f>
        <v>#VALUE!</v>
      </c>
      <c r="AA80" s="234" t="e">
        <f>SUM(AA76:AA79)</f>
        <v>#VALUE!</v>
      </c>
      <c r="AB80" s="340"/>
      <c r="AC80" s="234" t="e">
        <f>SUM(AC76:AC79)</f>
        <v>#VALUE!</v>
      </c>
      <c r="AD80" s="235" t="e">
        <f>SUM(AD76:AD79)</f>
        <v>#VALUE!</v>
      </c>
      <c r="AE80" s="236" t="str">
        <f t="shared" si="152"/>
        <v/>
      </c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  <c r="BE80" s="341"/>
      <c r="BF80" s="341"/>
      <c r="BG80" s="341"/>
      <c r="BH80" s="341"/>
      <c r="BI80" s="341"/>
      <c r="BJ80" s="341"/>
      <c r="BK80" s="341"/>
      <c r="BL80" s="341"/>
      <c r="BM80" s="341"/>
      <c r="BN80" s="341"/>
      <c r="BO80" s="341"/>
      <c r="BP80" s="341"/>
      <c r="BQ80" s="341"/>
      <c r="BR80" s="341"/>
      <c r="BS80" s="341"/>
      <c r="BT80" s="341"/>
      <c r="BU80" s="341"/>
      <c r="BV80" s="341"/>
      <c r="BW80" s="341"/>
      <c r="BX80" s="341"/>
      <c r="BY80" s="341"/>
      <c r="BZ80" s="341"/>
      <c r="CA80" s="341"/>
      <c r="CB80" s="341"/>
      <c r="CC80" s="341"/>
      <c r="CD80" s="341"/>
      <c r="CE80" s="341"/>
      <c r="CF80" s="341"/>
      <c r="CG80" s="341"/>
      <c r="CH80" s="341"/>
      <c r="CI80" s="341"/>
      <c r="CJ80" s="341"/>
      <c r="CK80" s="341"/>
      <c r="CL80" s="341"/>
      <c r="CM80" s="341"/>
    </row>
    <row r="81" spans="1:91" ht="16.5" customHeight="1" thickBot="1">
      <c r="B81" s="182"/>
      <c r="C81" s="948"/>
      <c r="D81" s="170" t="s">
        <v>121</v>
      </c>
      <c r="E81" s="241"/>
      <c r="F81" s="294" t="s">
        <v>122</v>
      </c>
      <c r="G81" s="343"/>
      <c r="H81" s="343"/>
      <c r="I81" s="344"/>
      <c r="J81" s="239"/>
      <c r="K81" s="239"/>
      <c r="L81" s="239"/>
      <c r="M81" s="297"/>
      <c r="N81" s="239"/>
      <c r="O81" s="239"/>
      <c r="P81" s="242"/>
      <c r="Q81" s="241"/>
      <c r="R81" s="241"/>
      <c r="S81" s="242"/>
      <c r="T81" s="298"/>
      <c r="U81" s="298"/>
      <c r="V81" s="240"/>
      <c r="W81" s="245"/>
      <c r="X81" s="245"/>
      <c r="Y81" s="242"/>
      <c r="Z81" s="180"/>
      <c r="AA81" s="180"/>
      <c r="AB81" s="300"/>
      <c r="AC81" s="263"/>
      <c r="AD81" s="263"/>
      <c r="AE81" s="264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  <c r="BE81" s="341"/>
      <c r="BF81" s="341"/>
      <c r="BG81" s="341"/>
      <c r="BH81" s="341"/>
      <c r="BI81" s="341"/>
      <c r="BJ81" s="341"/>
      <c r="BK81" s="341"/>
      <c r="BL81" s="341"/>
      <c r="BM81" s="341"/>
      <c r="BN81" s="341"/>
      <c r="BO81" s="341"/>
      <c r="BP81" s="341"/>
      <c r="BQ81" s="341"/>
      <c r="BR81" s="341"/>
      <c r="BS81" s="341"/>
      <c r="BT81" s="341"/>
      <c r="BU81" s="341"/>
      <c r="BV81" s="341"/>
      <c r="BW81" s="341"/>
      <c r="BX81" s="341"/>
      <c r="BY81" s="341"/>
      <c r="BZ81" s="341"/>
      <c r="CA81" s="341"/>
      <c r="CB81" s="341"/>
      <c r="CC81" s="341"/>
      <c r="CD81" s="341"/>
      <c r="CE81" s="341"/>
      <c r="CF81" s="341"/>
      <c r="CG81" s="341"/>
      <c r="CH81" s="341"/>
      <c r="CI81" s="341"/>
      <c r="CJ81" s="341"/>
      <c r="CK81" s="341"/>
      <c r="CL81" s="341"/>
      <c r="CM81" s="341"/>
    </row>
    <row r="82" spans="1:91" ht="16.5" customHeight="1">
      <c r="B82" s="182">
        <v>1</v>
      </c>
      <c r="C82" s="949"/>
      <c r="D82" s="97" t="s">
        <v>79</v>
      </c>
      <c r="E82" s="260" t="s">
        <v>123</v>
      </c>
      <c r="F82" s="254"/>
      <c r="G82" s="345">
        <v>8</v>
      </c>
      <c r="H82" s="346">
        <v>4</v>
      </c>
      <c r="I82" s="347">
        <f>IFERROR(H82/G82,"")</f>
        <v>0.5</v>
      </c>
      <c r="J82" s="188" t="e">
        <f>SUMIF('[1]Total 2'!$I:$I,_xlfn.TEXTJOIN(" ",TRUE,'NEW ATD PER TEAM'!$D$81,'NEW ATD PER TEAM'!$D82),'[1]Total 2'!L:L)</f>
        <v>#VALUE!</v>
      </c>
      <c r="K82" s="302" t="e">
        <f>J82*68/40</f>
        <v>#VALUE!</v>
      </c>
      <c r="L82" s="303" t="e">
        <f>SUMIF('[1]Total 2'!$I:$I,_xlfn.TEXTJOIN(" ",TRUE,'NEW ATD PER TEAM'!$D$81,'NEW ATD PER TEAM'!$D82),'[1]Total 2'!O:O)</f>
        <v>#VALUE!</v>
      </c>
      <c r="M82" s="304">
        <f>IFERROR(L82/K82,0)</f>
        <v>0</v>
      </c>
      <c r="N82" s="305" t="e">
        <f>J82*68/24</f>
        <v>#VALUE!</v>
      </c>
      <c r="O82" s="184" t="e">
        <f>SUMIF('[1]Total 2'!$I:$I,_xlfn.TEXTJOIN(" ",TRUE,'NEW ATD PER TEAM'!$D$81,'NEW ATD PER TEAM'!$D82),'[1]Total 2'!R:R)</f>
        <v>#VALUE!</v>
      </c>
      <c r="P82" s="191">
        <f>IFERROR(O82/N82,0)</f>
        <v>0</v>
      </c>
      <c r="Q82" s="192" t="e">
        <f>J82*68/24</f>
        <v>#VALUE!</v>
      </c>
      <c r="R82" s="193" t="e">
        <f>SUMIF('[1]Total 2'!$I:$I,_xlfn.TEXTJOIN(" ",TRUE,'NEW ATD PER TEAM'!$D$81,'NEW ATD PER TEAM'!$D82),'[1]Total 2'!U:U)</f>
        <v>#VALUE!</v>
      </c>
      <c r="S82" s="191">
        <f>IFERROR(R82/Q82,0)</f>
        <v>0</v>
      </c>
      <c r="T82" s="306" t="e">
        <f>J82*68/12</f>
        <v>#VALUE!</v>
      </c>
      <c r="U82" s="307" t="e">
        <f>SUMIF('[1]Total 2'!$I:$I,_xlfn.TEXTJOIN(" ",TRUE,'NEW ATD PER TEAM'!$D$81,'NEW ATD PER TEAM'!$D82),'[1]Total 2'!X:X)</f>
        <v>#VALUE!</v>
      </c>
      <c r="V82" s="308">
        <f>IFERROR(U82/T82,0)</f>
        <v>0</v>
      </c>
      <c r="W82" s="348" t="e">
        <f>J82*68/12</f>
        <v>#VALUE!</v>
      </c>
      <c r="X82" s="349" t="e">
        <f>SUMIF('[1]Total 2'!$I:$I,_xlfn.TEXTJOIN(" ",TRUE,'NEW ATD PER TEAM'!$D$81,'NEW ATD PER TEAM'!$D82),'[1]Total 2'!AA:AA)</f>
        <v>#VALUE!</v>
      </c>
      <c r="Y82" s="191">
        <f>IFERROR(X82/W82,0)</f>
        <v>0</v>
      </c>
      <c r="Z82" s="197" t="e">
        <f>SUMIF('[1]Total 2'!$I:$I,_xlfn.TEXTJOIN(" ",TRUE,'NEW ATD PER TEAM'!$D$81,'NEW ATD PER TEAM'!$D82),'[1]Total 2'!AC:AC)</f>
        <v>#VALUE!</v>
      </c>
      <c r="AA82" s="253" t="e">
        <f>SUMIF('[1]Total 2'!$I:$I,_xlfn.TEXTJOIN(" ",TRUE,'NEW ATD PER TEAM'!$D$81,'NEW ATD PER TEAM'!$D82),'[1]Total 2'!AD:AD)</f>
        <v>#VALUE!</v>
      </c>
      <c r="AB82" s="311"/>
      <c r="AC82" s="350" t="e">
        <f>J82*1854*40</f>
        <v>#VALUE!</v>
      </c>
      <c r="AD82" s="351" t="e">
        <f>AA82</f>
        <v>#VALUE!</v>
      </c>
      <c r="AE82" s="352" t="str">
        <f>IFERROR(AD82/AC82,"")</f>
        <v/>
      </c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  <c r="BE82" s="341"/>
      <c r="BF82" s="341"/>
      <c r="BG82" s="341"/>
      <c r="BH82" s="341"/>
      <c r="BI82" s="341"/>
      <c r="BJ82" s="341"/>
      <c r="BK82" s="341"/>
      <c r="BL82" s="341"/>
      <c r="BM82" s="341"/>
      <c r="BN82" s="341"/>
      <c r="BO82" s="341"/>
      <c r="BP82" s="341"/>
      <c r="BQ82" s="341"/>
      <c r="BR82" s="341"/>
      <c r="BS82" s="341"/>
      <c r="BT82" s="341"/>
      <c r="BU82" s="341"/>
      <c r="BV82" s="341"/>
      <c r="BW82" s="341"/>
      <c r="BX82" s="341"/>
      <c r="BY82" s="341"/>
      <c r="BZ82" s="341"/>
      <c r="CA82" s="341"/>
      <c r="CB82" s="341"/>
      <c r="CC82" s="341"/>
      <c r="CD82" s="341"/>
      <c r="CE82" s="341"/>
      <c r="CF82" s="341"/>
      <c r="CG82" s="341"/>
      <c r="CH82" s="341"/>
      <c r="CI82" s="341"/>
      <c r="CJ82" s="341"/>
      <c r="CK82" s="341"/>
      <c r="CL82" s="341"/>
      <c r="CM82" s="341"/>
    </row>
    <row r="83" spans="1:91" ht="16.5" customHeight="1">
      <c r="B83" s="182">
        <v>2</v>
      </c>
      <c r="C83" s="949"/>
      <c r="D83" s="57" t="s">
        <v>81</v>
      </c>
      <c r="E83" s="313" t="s">
        <v>124</v>
      </c>
      <c r="F83" s="313"/>
      <c r="G83" s="353">
        <v>8</v>
      </c>
      <c r="H83" s="354">
        <v>4</v>
      </c>
      <c r="I83" s="355">
        <f t="shared" ref="I83:I86" si="158">IFERROR(H83/G83,"")</f>
        <v>0.5</v>
      </c>
      <c r="J83" s="21" t="e">
        <f>SUMIF('[1]Total 2'!$I:$I,_xlfn.TEXTJOIN(" ",TRUE,'NEW ATD PER TEAM'!$D$81,'NEW ATD PER TEAM'!$D83),'[1]Total 2'!L:L)</f>
        <v>#VALUE!</v>
      </c>
      <c r="K83" s="203" t="e">
        <f>J83*68/40</f>
        <v>#VALUE!</v>
      </c>
      <c r="L83" s="303" t="e">
        <f>SUMIF('[1]Total 2'!$I:$I,_xlfn.TEXTJOIN(" ",TRUE,'NEW ATD PER TEAM'!$D$81,'NEW ATD PER TEAM'!$D83),'[1]Total 2'!O:O)</f>
        <v>#VALUE!</v>
      </c>
      <c r="M83" s="315">
        <f t="shared" ref="M83:M86" si="159">IFERROR(L83/K83,0)</f>
        <v>0</v>
      </c>
      <c r="N83" s="21" t="e">
        <f>J83*68/24</f>
        <v>#VALUE!</v>
      </c>
      <c r="O83" s="316" t="e">
        <f>SUMIF('[1]Total 2'!$I:$I,_xlfn.TEXTJOIN(" ",TRUE,'NEW ATD PER TEAM'!$D$81,'NEW ATD PER TEAM'!$D83),'[1]Total 2'!R:R)</f>
        <v>#VALUE!</v>
      </c>
      <c r="P83" s="205">
        <f t="shared" ref="P83:P86" si="160">IFERROR(O83/N83,0)</f>
        <v>0</v>
      </c>
      <c r="Q83" s="18" t="e">
        <f>J83*68/24</f>
        <v>#VALUE!</v>
      </c>
      <c r="R83" s="103" t="e">
        <f>SUMIF('[1]Total 2'!$I:$I,_xlfn.TEXTJOIN(" ",TRUE,'NEW ATD PER TEAM'!$D$81,'NEW ATD PER TEAM'!$D83),'[1]Total 2'!U:U)</f>
        <v>#VALUE!</v>
      </c>
      <c r="S83" s="205">
        <f t="shared" ref="S83:S86" si="161">IFERROR(R83/Q83,0)</f>
        <v>0</v>
      </c>
      <c r="T83" s="317" t="e">
        <f>J83*68/12</f>
        <v>#VALUE!</v>
      </c>
      <c r="U83" s="318" t="e">
        <f>SUMIF('[1]Total 2'!$I:$I,_xlfn.TEXTJOIN(" ",TRUE,'NEW ATD PER TEAM'!$D$81,'NEW ATD PER TEAM'!$D83),'[1]Total 2'!X:X)</f>
        <v>#VALUE!</v>
      </c>
      <c r="V83" s="319">
        <f t="shared" ref="V83:V86" si="162">IFERROR(U83/T83,0)</f>
        <v>0</v>
      </c>
      <c r="W83" s="317" t="e">
        <f>J83*68/12</f>
        <v>#VALUE!</v>
      </c>
      <c r="X83" s="318" t="e">
        <f>SUMIF('[1]Total 2'!$I:$I,_xlfn.TEXTJOIN(" ",TRUE,'NEW ATD PER TEAM'!$D$81,'NEW ATD PER TEAM'!$D83),'[1]Total 2'!AA:AA)</f>
        <v>#VALUE!</v>
      </c>
      <c r="Y83" s="205">
        <f t="shared" ref="Y83:Y86" si="163">IFERROR(X83/W83,0)</f>
        <v>0</v>
      </c>
      <c r="Z83" s="206" t="e">
        <f>SUMIF('[1]Total 2'!$I:$I,_xlfn.TEXTJOIN(" ",TRUE,'NEW ATD PER TEAM'!$D$81,'NEW ATD PER TEAM'!$D83),'[1]Total 2'!AC:AC)</f>
        <v>#VALUE!</v>
      </c>
      <c r="AA83" s="207" t="e">
        <f>SUMIF('[1]Total 2'!$I:$I,_xlfn.TEXTJOIN(" ",TRUE,'NEW ATD PER TEAM'!$D$81,'NEW ATD PER TEAM'!$D83),'[1]Total 2'!AD:AD)</f>
        <v>#VALUE!</v>
      </c>
      <c r="AB83" s="322"/>
      <c r="AC83" s="356" t="e">
        <f>J83*1854*40</f>
        <v>#VALUE!</v>
      </c>
      <c r="AD83" s="357" t="e">
        <f t="shared" ref="AD83:AD85" si="164">AA83</f>
        <v>#VALUE!</v>
      </c>
      <c r="AE83" s="358" t="str">
        <f t="shared" ref="AE83:AE86" si="165">IFERROR(AD83/AC83,"")</f>
        <v/>
      </c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  <c r="BE83" s="341"/>
      <c r="BF83" s="341"/>
      <c r="BG83" s="341"/>
      <c r="BH83" s="341"/>
      <c r="BI83" s="341"/>
      <c r="BJ83" s="341"/>
      <c r="BK83" s="341"/>
      <c r="BL83" s="341"/>
      <c r="BM83" s="341"/>
      <c r="BN83" s="341"/>
      <c r="BO83" s="341"/>
      <c r="BP83" s="341"/>
      <c r="BQ83" s="341"/>
      <c r="BR83" s="341"/>
      <c r="BS83" s="341"/>
      <c r="BT83" s="341"/>
      <c r="BU83" s="341"/>
      <c r="BV83" s="341"/>
      <c r="BW83" s="341"/>
      <c r="BX83" s="341"/>
      <c r="BY83" s="341"/>
      <c r="BZ83" s="341"/>
      <c r="CA83" s="341"/>
      <c r="CB83" s="341"/>
      <c r="CC83" s="341"/>
      <c r="CD83" s="341"/>
      <c r="CE83" s="341"/>
      <c r="CF83" s="341"/>
      <c r="CG83" s="341"/>
      <c r="CH83" s="341"/>
      <c r="CI83" s="341"/>
      <c r="CJ83" s="341"/>
      <c r="CK83" s="341"/>
      <c r="CL83" s="341"/>
      <c r="CM83" s="341"/>
    </row>
    <row r="84" spans="1:91" ht="16.5" customHeight="1">
      <c r="B84" s="182">
        <v>3</v>
      </c>
      <c r="C84" s="949"/>
      <c r="D84" s="57" t="s">
        <v>83</v>
      </c>
      <c r="E84" s="313" t="s">
        <v>125</v>
      </c>
      <c r="F84" s="313"/>
      <c r="G84" s="353">
        <v>8</v>
      </c>
      <c r="H84" s="354">
        <v>4</v>
      </c>
      <c r="I84" s="355">
        <f t="shared" si="158"/>
        <v>0.5</v>
      </c>
      <c r="J84" s="21" t="e">
        <f>SUMIF('[1]Total 2'!$I:$I,_xlfn.TEXTJOIN(" ",TRUE,'NEW ATD PER TEAM'!$D$81,'NEW ATD PER TEAM'!$D84),'[1]Total 2'!L:L)</f>
        <v>#VALUE!</v>
      </c>
      <c r="K84" s="203" t="e">
        <f>J84*68/40</f>
        <v>#VALUE!</v>
      </c>
      <c r="L84" s="303" t="e">
        <f>SUMIF('[1]Total 2'!$I:$I,_xlfn.TEXTJOIN(" ",TRUE,'NEW ATD PER TEAM'!$D$81,'NEW ATD PER TEAM'!$D84),'[1]Total 2'!O:O)</f>
        <v>#VALUE!</v>
      </c>
      <c r="M84" s="315">
        <f t="shared" si="159"/>
        <v>0</v>
      </c>
      <c r="N84" s="21" t="e">
        <f>J84*68/24</f>
        <v>#VALUE!</v>
      </c>
      <c r="O84" s="316" t="e">
        <f>SUMIF('[1]Total 2'!$I:$I,_xlfn.TEXTJOIN(" ",TRUE,'NEW ATD PER TEAM'!$D$81,'NEW ATD PER TEAM'!$D84),'[1]Total 2'!R:R)</f>
        <v>#VALUE!</v>
      </c>
      <c r="P84" s="205">
        <f t="shared" si="160"/>
        <v>0</v>
      </c>
      <c r="Q84" s="18" t="e">
        <f>J84*68/24</f>
        <v>#VALUE!</v>
      </c>
      <c r="R84" s="103" t="e">
        <f>SUMIF('[1]Total 2'!$I:$I,_xlfn.TEXTJOIN(" ",TRUE,'NEW ATD PER TEAM'!$D$81,'NEW ATD PER TEAM'!$D84),'[1]Total 2'!U:U)</f>
        <v>#VALUE!</v>
      </c>
      <c r="S84" s="205">
        <f t="shared" si="161"/>
        <v>0</v>
      </c>
      <c r="T84" s="317" t="e">
        <f>J84*68/12</f>
        <v>#VALUE!</v>
      </c>
      <c r="U84" s="318" t="e">
        <f>SUMIF('[1]Total 2'!$I:$I,_xlfn.TEXTJOIN(" ",TRUE,'NEW ATD PER TEAM'!$D$81,'NEW ATD PER TEAM'!$D84),'[1]Total 2'!X:X)</f>
        <v>#VALUE!</v>
      </c>
      <c r="V84" s="319">
        <f t="shared" si="162"/>
        <v>0</v>
      </c>
      <c r="W84" s="359" t="e">
        <f>J84*68/12</f>
        <v>#VALUE!</v>
      </c>
      <c r="X84" s="360" t="e">
        <f>SUMIF('[1]Total 2'!$I:$I,_xlfn.TEXTJOIN(" ",TRUE,'NEW ATD PER TEAM'!$D$81,'NEW ATD PER TEAM'!$D84),'[1]Total 2'!AA:AA)</f>
        <v>#VALUE!</v>
      </c>
      <c r="Y84" s="205">
        <f t="shared" si="163"/>
        <v>0</v>
      </c>
      <c r="Z84" s="206" t="e">
        <f>SUMIF('[1]Total 2'!$I:$I,_xlfn.TEXTJOIN(" ",TRUE,'NEW ATD PER TEAM'!$D$81,'NEW ATD PER TEAM'!$D84),'[1]Total 2'!AC:AC)</f>
        <v>#VALUE!</v>
      </c>
      <c r="AA84" s="207" t="e">
        <f>SUMIF('[1]Total 2'!$I:$I,_xlfn.TEXTJOIN(" ",TRUE,'NEW ATD PER TEAM'!$D$81,'NEW ATD PER TEAM'!$D84),'[1]Total 2'!AD:AD)</f>
        <v>#VALUE!</v>
      </c>
      <c r="AB84" s="322"/>
      <c r="AC84" s="356" t="e">
        <f>J84*1854*40</f>
        <v>#VALUE!</v>
      </c>
      <c r="AD84" s="357" t="e">
        <f t="shared" si="164"/>
        <v>#VALUE!</v>
      </c>
      <c r="AE84" s="358" t="str">
        <f t="shared" si="165"/>
        <v/>
      </c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  <c r="BE84" s="341"/>
      <c r="BF84" s="341"/>
      <c r="BG84" s="341"/>
      <c r="BH84" s="341"/>
      <c r="BI84" s="341"/>
      <c r="BJ84" s="341"/>
      <c r="BK84" s="341"/>
      <c r="BL84" s="341"/>
      <c r="BM84" s="341"/>
      <c r="BN84" s="341"/>
      <c r="BO84" s="341"/>
      <c r="BP84" s="341"/>
      <c r="BQ84" s="341"/>
      <c r="BR84" s="341"/>
      <c r="BS84" s="341"/>
      <c r="BT84" s="341"/>
      <c r="BU84" s="341"/>
      <c r="BV84" s="341"/>
      <c r="BW84" s="341"/>
      <c r="BX84" s="341"/>
      <c r="BY84" s="341"/>
      <c r="BZ84" s="341"/>
      <c r="CA84" s="341"/>
      <c r="CB84" s="341"/>
      <c r="CC84" s="341"/>
      <c r="CD84" s="341"/>
      <c r="CE84" s="341"/>
      <c r="CF84" s="341"/>
      <c r="CG84" s="341"/>
      <c r="CH84" s="341"/>
      <c r="CI84" s="341"/>
      <c r="CJ84" s="341"/>
      <c r="CK84" s="341"/>
      <c r="CL84" s="341"/>
      <c r="CM84" s="341"/>
    </row>
    <row r="85" spans="1:91" ht="16.5" customHeight="1" thickBot="1">
      <c r="B85" s="182">
        <v>4</v>
      </c>
      <c r="C85" s="949"/>
      <c r="D85" s="209" t="s">
        <v>85</v>
      </c>
      <c r="E85" s="323" t="s">
        <v>126</v>
      </c>
      <c r="F85" s="313"/>
      <c r="G85" s="361">
        <v>8</v>
      </c>
      <c r="H85" s="362">
        <v>4</v>
      </c>
      <c r="I85" s="363">
        <f t="shared" si="158"/>
        <v>0.5</v>
      </c>
      <c r="J85" s="215" t="e">
        <f>SUMIF('[1]Total 2'!$I:$I,_xlfn.TEXTJOIN(" ",TRUE,'NEW ATD PER TEAM'!$D$81,'NEW ATD PER TEAM'!$D85),'[1]Total 2'!L:L)</f>
        <v>#VALUE!</v>
      </c>
      <c r="K85" s="213" t="e">
        <f>J85*68/40</f>
        <v>#VALUE!</v>
      </c>
      <c r="L85" s="303" t="e">
        <f>SUMIF('[1]Total 2'!$I:$I,_xlfn.TEXTJOIN(" ",TRUE,'NEW ATD PER TEAM'!$D$81,'NEW ATD PER TEAM'!$D85),'[1]Total 2'!O:O)</f>
        <v>#VALUE!</v>
      </c>
      <c r="M85" s="324">
        <f t="shared" si="159"/>
        <v>0</v>
      </c>
      <c r="N85" s="215" t="e">
        <f>J85*68/24</f>
        <v>#VALUE!</v>
      </c>
      <c r="O85" s="325" t="e">
        <f>SUMIF('[1]Total 2'!$I:$I,_xlfn.TEXTJOIN(" ",TRUE,'NEW ATD PER TEAM'!$D$81,'NEW ATD PER TEAM'!$D85),'[1]Total 2'!R:R)</f>
        <v>#VALUE!</v>
      </c>
      <c r="P85" s="216">
        <f t="shared" si="160"/>
        <v>0</v>
      </c>
      <c r="Q85" s="109" t="e">
        <f>J85*68/24</f>
        <v>#VALUE!</v>
      </c>
      <c r="R85" s="110" t="e">
        <f>SUMIF('[1]Total 2'!$I:$I,_xlfn.TEXTJOIN(" ",TRUE,'NEW ATD PER TEAM'!$D$81,'NEW ATD PER TEAM'!$D85),'[1]Total 2'!U:U)</f>
        <v>#VALUE!</v>
      </c>
      <c r="S85" s="216">
        <f t="shared" si="161"/>
        <v>0</v>
      </c>
      <c r="T85" s="326" t="e">
        <f>J85*68/12</f>
        <v>#VALUE!</v>
      </c>
      <c r="U85" s="327" t="e">
        <f>SUMIF('[1]Total 2'!$I:$I,_xlfn.TEXTJOIN(" ",TRUE,'NEW ATD PER TEAM'!$D$81,'NEW ATD PER TEAM'!$D85),'[1]Total 2'!X:X)</f>
        <v>#VALUE!</v>
      </c>
      <c r="V85" s="328">
        <f t="shared" si="162"/>
        <v>0</v>
      </c>
      <c r="W85" s="364" t="e">
        <f>J85*68/12</f>
        <v>#VALUE!</v>
      </c>
      <c r="X85" s="365" t="e">
        <f>SUMIF('[1]Total 2'!$I:$I,_xlfn.TEXTJOIN(" ",TRUE,'NEW ATD PER TEAM'!$D$81,'NEW ATD PER TEAM'!$D85),'[1]Total 2'!AA:AA)</f>
        <v>#VALUE!</v>
      </c>
      <c r="Y85" s="216">
        <f t="shared" si="163"/>
        <v>0</v>
      </c>
      <c r="Z85" s="217" t="e">
        <f>SUMIF('[1]Total 2'!$I:$I,_xlfn.TEXTJOIN(" ",TRUE,'NEW ATD PER TEAM'!$D$81,'NEW ATD PER TEAM'!$D85),'[1]Total 2'!AC:AC)</f>
        <v>#VALUE!</v>
      </c>
      <c r="AA85" s="218" t="e">
        <f>SUMIF('[1]Total 2'!$I:$I,_xlfn.TEXTJOIN(" ",TRUE,'NEW ATD PER TEAM'!$D$81,'NEW ATD PER TEAM'!$D85),'[1]Total 2'!AD:AD)</f>
        <v>#VALUE!</v>
      </c>
      <c r="AB85" s="331"/>
      <c r="AC85" s="366" t="e">
        <f>J85*1854*40</f>
        <v>#VALUE!</v>
      </c>
      <c r="AD85" s="367" t="e">
        <f t="shared" si="164"/>
        <v>#VALUE!</v>
      </c>
      <c r="AE85" s="368" t="str">
        <f t="shared" si="165"/>
        <v/>
      </c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  <c r="BE85" s="341"/>
      <c r="BF85" s="341"/>
      <c r="BG85" s="341"/>
      <c r="BH85" s="341"/>
      <c r="BI85" s="341"/>
      <c r="BJ85" s="341"/>
      <c r="BK85" s="341"/>
      <c r="BL85" s="341"/>
      <c r="BM85" s="341"/>
      <c r="BN85" s="341"/>
      <c r="BO85" s="341"/>
      <c r="BP85" s="341"/>
      <c r="BQ85" s="341"/>
      <c r="BR85" s="341"/>
      <c r="BS85" s="341"/>
      <c r="BT85" s="341"/>
      <c r="BU85" s="341"/>
      <c r="BV85" s="341"/>
      <c r="BW85" s="341"/>
      <c r="BX85" s="341"/>
      <c r="BY85" s="341"/>
      <c r="BZ85" s="341"/>
      <c r="CA85" s="341"/>
      <c r="CB85" s="341"/>
      <c r="CC85" s="341"/>
      <c r="CD85" s="341"/>
      <c r="CE85" s="341"/>
      <c r="CF85" s="341"/>
      <c r="CG85" s="341"/>
      <c r="CH85" s="341"/>
      <c r="CI85" s="341"/>
      <c r="CJ85" s="341"/>
      <c r="CK85" s="341"/>
      <c r="CL85" s="341"/>
      <c r="CM85" s="341"/>
    </row>
    <row r="86" spans="1:91" s="342" customFormat="1" ht="16.2" thickBot="1">
      <c r="A86"/>
      <c r="B86" s="182"/>
      <c r="C86" s="949"/>
      <c r="D86" s="333"/>
      <c r="E86" s="222" t="s">
        <v>70</v>
      </c>
      <c r="F86" s="334"/>
      <c r="G86" s="224">
        <f>SUM(G82:G85)</f>
        <v>32</v>
      </c>
      <c r="H86" s="224">
        <f>SUM(H82:H85)</f>
        <v>16</v>
      </c>
      <c r="I86" s="225">
        <f t="shared" si="158"/>
        <v>0.5</v>
      </c>
      <c r="J86" s="226" t="e">
        <f>SUM(J82:J85)</f>
        <v>#VALUE!</v>
      </c>
      <c r="K86" s="335" t="e">
        <f t="shared" ref="K86:L86" si="166">SUM(K82:K85)</f>
        <v>#VALUE!</v>
      </c>
      <c r="L86" s="336" t="e">
        <f t="shared" si="166"/>
        <v>#VALUE!</v>
      </c>
      <c r="M86" s="337">
        <f t="shared" si="159"/>
        <v>0</v>
      </c>
      <c r="N86" s="289" t="e">
        <f t="shared" ref="N86:O86" si="167">SUM(N82:N85)</f>
        <v>#VALUE!</v>
      </c>
      <c r="O86" s="290" t="e">
        <f t="shared" si="167"/>
        <v>#VALUE!</v>
      </c>
      <c r="P86" s="291">
        <f t="shared" si="160"/>
        <v>0</v>
      </c>
      <c r="Q86" s="289" t="e">
        <f t="shared" ref="Q86:R86" si="168">SUM(Q82:Q85)</f>
        <v>#VALUE!</v>
      </c>
      <c r="R86" s="290" t="e">
        <f t="shared" si="168"/>
        <v>#VALUE!</v>
      </c>
      <c r="S86" s="291">
        <f t="shared" si="161"/>
        <v>0</v>
      </c>
      <c r="T86" s="338" t="e">
        <f t="shared" ref="T86:U86" si="169">SUM(T82:T85)</f>
        <v>#VALUE!</v>
      </c>
      <c r="U86" s="339" t="e">
        <f t="shared" si="169"/>
        <v>#VALUE!</v>
      </c>
      <c r="V86" s="291">
        <f t="shared" si="162"/>
        <v>0</v>
      </c>
      <c r="W86" s="289" t="e">
        <f t="shared" ref="W86:X86" si="170">SUM(W82:W85)</f>
        <v>#VALUE!</v>
      </c>
      <c r="X86" s="290" t="e">
        <f t="shared" si="170"/>
        <v>#VALUE!</v>
      </c>
      <c r="Y86" s="291">
        <f t="shared" si="163"/>
        <v>0</v>
      </c>
      <c r="Z86" s="234" t="e">
        <f>SUM(Z82:Z85)</f>
        <v>#VALUE!</v>
      </c>
      <c r="AA86" s="234" t="e">
        <f>SUM(AA82:AA85)</f>
        <v>#VALUE!</v>
      </c>
      <c r="AB86" s="340"/>
      <c r="AC86" s="234" t="e">
        <f>SUM(AC82:AC85)</f>
        <v>#VALUE!</v>
      </c>
      <c r="AD86" s="235" t="e">
        <f>SUM(AD82:AD85)</f>
        <v>#VALUE!</v>
      </c>
      <c r="AE86" s="236" t="str">
        <f t="shared" si="165"/>
        <v/>
      </c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  <c r="BE86" s="341"/>
      <c r="BF86" s="341"/>
      <c r="BG86" s="341"/>
      <c r="BH86" s="341"/>
      <c r="BI86" s="341"/>
      <c r="BJ86" s="341"/>
      <c r="BK86" s="341"/>
      <c r="BL86" s="341"/>
      <c r="BM86" s="341"/>
      <c r="BN86" s="341"/>
      <c r="BO86" s="341"/>
      <c r="BP86" s="341"/>
      <c r="BQ86" s="341"/>
      <c r="BR86" s="341"/>
      <c r="BS86" s="341"/>
      <c r="BT86" s="341"/>
      <c r="BU86" s="341"/>
      <c r="BV86" s="341"/>
      <c r="BW86" s="341"/>
      <c r="BX86" s="341"/>
      <c r="BY86" s="341"/>
      <c r="BZ86" s="341"/>
      <c r="CA86" s="341"/>
      <c r="CB86" s="341"/>
      <c r="CC86" s="341"/>
      <c r="CD86" s="341"/>
      <c r="CE86" s="341"/>
      <c r="CF86" s="341"/>
      <c r="CG86" s="341"/>
      <c r="CH86" s="341"/>
      <c r="CI86" s="341"/>
      <c r="CJ86" s="341"/>
      <c r="CK86" s="341"/>
      <c r="CL86" s="341"/>
      <c r="CM86" s="341"/>
    </row>
    <row r="87" spans="1:91" ht="16.5" customHeight="1" thickBot="1">
      <c r="B87" s="182"/>
      <c r="C87" s="948"/>
      <c r="D87" s="170" t="s">
        <v>127</v>
      </c>
      <c r="E87" s="241"/>
      <c r="F87" s="294" t="s">
        <v>58</v>
      </c>
      <c r="G87" s="343"/>
      <c r="H87" s="343"/>
      <c r="I87" s="344"/>
      <c r="J87" s="239"/>
      <c r="K87" s="239"/>
      <c r="L87" s="239"/>
      <c r="M87" s="297"/>
      <c r="N87" s="239"/>
      <c r="O87" s="239"/>
      <c r="P87" s="242"/>
      <c r="Q87" s="241"/>
      <c r="R87" s="241"/>
      <c r="S87" s="242"/>
      <c r="T87" s="298"/>
      <c r="U87" s="298"/>
      <c r="V87" s="240"/>
      <c r="W87" s="245"/>
      <c r="X87" s="245"/>
      <c r="Y87" s="242"/>
      <c r="Z87" s="180"/>
      <c r="AA87" s="180"/>
      <c r="AB87" s="300"/>
      <c r="AC87" s="263"/>
      <c r="AD87" s="263"/>
      <c r="AE87" s="264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  <c r="BE87" s="341"/>
      <c r="BF87" s="341"/>
      <c r="BG87" s="341"/>
      <c r="BH87" s="341"/>
      <c r="BI87" s="341"/>
      <c r="BJ87" s="341"/>
      <c r="BK87" s="341"/>
      <c r="BL87" s="341"/>
      <c r="BM87" s="341"/>
      <c r="BN87" s="341"/>
      <c r="BO87" s="341"/>
      <c r="BP87" s="341"/>
      <c r="BQ87" s="341"/>
      <c r="BR87" s="341"/>
      <c r="BS87" s="341"/>
      <c r="BT87" s="341"/>
      <c r="BU87" s="341"/>
      <c r="BV87" s="341"/>
      <c r="BW87" s="341"/>
      <c r="BX87" s="341"/>
      <c r="BY87" s="341"/>
      <c r="BZ87" s="341"/>
      <c r="CA87" s="341"/>
      <c r="CB87" s="341"/>
      <c r="CC87" s="341"/>
      <c r="CD87" s="341"/>
      <c r="CE87" s="341"/>
      <c r="CF87" s="341"/>
      <c r="CG87" s="341"/>
      <c r="CH87" s="341"/>
      <c r="CI87" s="341"/>
      <c r="CJ87" s="341"/>
      <c r="CK87" s="341"/>
      <c r="CL87" s="341"/>
      <c r="CM87" s="341"/>
    </row>
    <row r="88" spans="1:91" ht="16.5" customHeight="1">
      <c r="B88" s="182">
        <v>1</v>
      </c>
      <c r="C88" s="949"/>
      <c r="D88" s="97" t="s">
        <v>79</v>
      </c>
      <c r="E88" s="265" t="s">
        <v>128</v>
      </c>
      <c r="F88" s="369"/>
      <c r="G88" s="345">
        <v>8</v>
      </c>
      <c r="H88" s="346">
        <v>5</v>
      </c>
      <c r="I88" s="347">
        <f>IFERROR(H88/G88,"")</f>
        <v>0.625</v>
      </c>
      <c r="J88" s="188" t="e">
        <f>SUMIF('[1]Total 2'!$I:$I,_xlfn.TEXTJOIN(" ",TRUE,'NEW ATD PER TEAM'!$D$87,'NEW ATD PER TEAM'!$D88),'[1]Total 2'!L:L)</f>
        <v>#VALUE!</v>
      </c>
      <c r="K88" s="302" t="e">
        <f>J88*68/40</f>
        <v>#VALUE!</v>
      </c>
      <c r="L88" s="303" t="e">
        <f>SUMIF('[1]Total 2'!$I:$I,_xlfn.TEXTJOIN(" ",TRUE,'NEW ATD PER TEAM'!$D$87,'NEW ATD PER TEAM'!$D88),'[1]Total 2'!O:O)</f>
        <v>#VALUE!</v>
      </c>
      <c r="M88" s="304">
        <f>IFERROR(L88/K88,0)</f>
        <v>0</v>
      </c>
      <c r="N88" s="305" t="e">
        <f>J88*68/24</f>
        <v>#VALUE!</v>
      </c>
      <c r="O88" s="184" t="e">
        <f>SUMIF('[1]Total 2'!$I:$I,_xlfn.TEXTJOIN(" ",TRUE,'NEW ATD PER TEAM'!$D$87,'NEW ATD PER TEAM'!$D88),'[1]Total 2'!R:R)</f>
        <v>#VALUE!</v>
      </c>
      <c r="P88" s="191">
        <f>IFERROR(O88/N88,0)</f>
        <v>0</v>
      </c>
      <c r="Q88" s="192" t="e">
        <f>J88*68/24</f>
        <v>#VALUE!</v>
      </c>
      <c r="R88" s="193" t="e">
        <f>SUMIF('[1]Total 2'!$I:$I,_xlfn.TEXTJOIN(" ",TRUE,'NEW ATD PER TEAM'!$D$87,'NEW ATD PER TEAM'!$D88),'[1]Total 2'!U:U)</f>
        <v>#VALUE!</v>
      </c>
      <c r="S88" s="191">
        <f>IFERROR(R88/Q88,0)</f>
        <v>0</v>
      </c>
      <c r="T88" s="306" t="e">
        <f>J88*68/12</f>
        <v>#VALUE!</v>
      </c>
      <c r="U88" s="307" t="e">
        <f>SUMIF('[1]Total 2'!$I:$I,_xlfn.TEXTJOIN(" ",TRUE,'NEW ATD PER TEAM'!$D$87,'NEW ATD PER TEAM'!$D88),'[1]Total 2'!X:X)</f>
        <v>#VALUE!</v>
      </c>
      <c r="V88" s="308">
        <f>IFERROR(U88/T88,0)</f>
        <v>0</v>
      </c>
      <c r="W88" s="348" t="e">
        <f>J88*68/12</f>
        <v>#VALUE!</v>
      </c>
      <c r="X88" s="349" t="e">
        <f>SUMIF('[1]Total 2'!$I:$I,_xlfn.TEXTJOIN(" ",TRUE,'NEW ATD PER TEAM'!$D$87,'NEW ATD PER TEAM'!$D88),'[1]Total 2'!AA:AA)</f>
        <v>#VALUE!</v>
      </c>
      <c r="Y88" s="191">
        <f>IFERROR(X88/W88,0)</f>
        <v>0</v>
      </c>
      <c r="Z88" s="197" t="e">
        <f>SUMIF('[1]Total 2'!$I:$I,_xlfn.TEXTJOIN(" ",TRUE,'NEW ATD PER TEAM'!$D$87,'NEW ATD PER TEAM'!$D88),'[1]Total 2'!AC:AC)</f>
        <v>#VALUE!</v>
      </c>
      <c r="AA88" s="253" t="e">
        <f>SUMIF('[1]Total 2'!$I:$I,_xlfn.TEXTJOIN(" ",TRUE,'NEW ATD PER TEAM'!$D$87,'NEW ATD PER TEAM'!$D88),'[1]Total 2'!AD:AD)</f>
        <v>#VALUE!</v>
      </c>
      <c r="AB88" s="311"/>
      <c r="AC88" s="350" t="e">
        <f>J88*1854*40</f>
        <v>#VALUE!</v>
      </c>
      <c r="AD88" s="351" t="e">
        <f>AA88</f>
        <v>#VALUE!</v>
      </c>
      <c r="AE88" s="352" t="str">
        <f>IFERROR(AD88/AC88,"")</f>
        <v/>
      </c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  <c r="BE88" s="341"/>
      <c r="BF88" s="341"/>
      <c r="BG88" s="341"/>
      <c r="BH88" s="341"/>
      <c r="BI88" s="341"/>
      <c r="BJ88" s="341"/>
      <c r="BK88" s="341"/>
      <c r="BL88" s="341"/>
      <c r="BM88" s="341"/>
      <c r="BN88" s="341"/>
      <c r="BO88" s="341"/>
      <c r="BP88" s="341"/>
      <c r="BQ88" s="341"/>
      <c r="BR88" s="341"/>
      <c r="BS88" s="341"/>
      <c r="BT88" s="341"/>
      <c r="BU88" s="341"/>
      <c r="BV88" s="341"/>
      <c r="BW88" s="341"/>
      <c r="BX88" s="341"/>
      <c r="BY88" s="341"/>
      <c r="BZ88" s="341"/>
      <c r="CA88" s="341"/>
      <c r="CB88" s="341"/>
      <c r="CC88" s="341"/>
      <c r="CD88" s="341"/>
      <c r="CE88" s="341"/>
      <c r="CF88" s="341"/>
      <c r="CG88" s="341"/>
      <c r="CH88" s="341"/>
      <c r="CI88" s="341"/>
      <c r="CJ88" s="341"/>
      <c r="CK88" s="341"/>
      <c r="CL88" s="341"/>
      <c r="CM88" s="341"/>
    </row>
    <row r="89" spans="1:91" ht="16.5" customHeight="1">
      <c r="B89" s="182">
        <v>2</v>
      </c>
      <c r="C89" s="949"/>
      <c r="D89" s="57" t="s">
        <v>81</v>
      </c>
      <c r="E89" s="254" t="s">
        <v>129</v>
      </c>
      <c r="F89" s="301"/>
      <c r="G89" s="353">
        <v>8</v>
      </c>
      <c r="H89" s="354">
        <v>6</v>
      </c>
      <c r="I89" s="355">
        <f t="shared" ref="I89:I92" si="171">IFERROR(H89/G89,"")</f>
        <v>0.75</v>
      </c>
      <c r="J89" s="21" t="e">
        <f>SUMIF('[1]Total 2'!$I:$I,_xlfn.TEXTJOIN(" ",TRUE,'NEW ATD PER TEAM'!$D$87,'NEW ATD PER TEAM'!$D89),'[1]Total 2'!L:L)</f>
        <v>#VALUE!</v>
      </c>
      <c r="K89" s="203" t="e">
        <f>J89*68/40</f>
        <v>#VALUE!</v>
      </c>
      <c r="L89" s="303" t="e">
        <f>SUMIF('[1]Total 2'!$I:$I,_xlfn.TEXTJOIN(" ",TRUE,'NEW ATD PER TEAM'!$D$87,'NEW ATD PER TEAM'!$D89),'[1]Total 2'!O:O)</f>
        <v>#VALUE!</v>
      </c>
      <c r="M89" s="315">
        <f t="shared" ref="M89:M92" si="172">IFERROR(L89/K89,0)</f>
        <v>0</v>
      </c>
      <c r="N89" s="21" t="e">
        <f>J89*68/24</f>
        <v>#VALUE!</v>
      </c>
      <c r="O89" s="316" t="e">
        <f>SUMIF('[1]Total 2'!$I:$I,_xlfn.TEXTJOIN(" ",TRUE,'NEW ATD PER TEAM'!$D$87,'NEW ATD PER TEAM'!$D89),'[1]Total 2'!R:R)</f>
        <v>#VALUE!</v>
      </c>
      <c r="P89" s="205">
        <f t="shared" ref="P89:P92" si="173">IFERROR(O89/N89,0)</f>
        <v>0</v>
      </c>
      <c r="Q89" s="18" t="e">
        <f>J89*68/24</f>
        <v>#VALUE!</v>
      </c>
      <c r="R89" s="103" t="e">
        <f>SUMIF('[1]Total 2'!$I:$I,_xlfn.TEXTJOIN(" ",TRUE,'NEW ATD PER TEAM'!$D$87,'NEW ATD PER TEAM'!$D89),'[1]Total 2'!U:U)</f>
        <v>#VALUE!</v>
      </c>
      <c r="S89" s="205">
        <f t="shared" ref="S89:S92" si="174">IFERROR(R89/Q89,0)</f>
        <v>0</v>
      </c>
      <c r="T89" s="317" t="e">
        <f>J89*68/12</f>
        <v>#VALUE!</v>
      </c>
      <c r="U89" s="318" t="e">
        <f>SUMIF('[1]Total 2'!$I:$I,_xlfn.TEXTJOIN(" ",TRUE,'NEW ATD PER TEAM'!$D$87,'NEW ATD PER TEAM'!$D89),'[1]Total 2'!X:X)</f>
        <v>#VALUE!</v>
      </c>
      <c r="V89" s="319">
        <f t="shared" ref="V89:V92" si="175">IFERROR(U89/T89,0)</f>
        <v>0</v>
      </c>
      <c r="W89" s="359" t="e">
        <f>J89*68/12</f>
        <v>#VALUE!</v>
      </c>
      <c r="X89" s="360" t="e">
        <f>SUMIF('[1]Total 2'!$I:$I,_xlfn.TEXTJOIN(" ",TRUE,'NEW ATD PER TEAM'!$D$87,'NEW ATD PER TEAM'!$D89),'[1]Total 2'!AA:AA)</f>
        <v>#VALUE!</v>
      </c>
      <c r="Y89" s="205">
        <f t="shared" ref="Y89:Y92" si="176">IFERROR(X89/W89,0)</f>
        <v>0</v>
      </c>
      <c r="Z89" s="206" t="e">
        <f>SUMIF('[1]Total 2'!$I:$I,_xlfn.TEXTJOIN(" ",TRUE,'NEW ATD PER TEAM'!$D$87,'NEW ATD PER TEAM'!$D89),'[1]Total 2'!AC:AC)</f>
        <v>#VALUE!</v>
      </c>
      <c r="AA89" s="207" t="e">
        <f>SUMIF('[1]Total 2'!$I:$I,_xlfn.TEXTJOIN(" ",TRUE,'NEW ATD PER TEAM'!$D$87,'NEW ATD PER TEAM'!$D89),'[1]Total 2'!AD:AD)</f>
        <v>#VALUE!</v>
      </c>
      <c r="AB89" s="322"/>
      <c r="AC89" s="356" t="e">
        <f>J89*1854*40</f>
        <v>#VALUE!</v>
      </c>
      <c r="AD89" s="357" t="e">
        <f t="shared" ref="AD89:AD91" si="177">AA89</f>
        <v>#VALUE!</v>
      </c>
      <c r="AE89" s="358" t="str">
        <f t="shared" ref="AE89:AE92" si="178">IFERROR(AD89/AC89,"")</f>
        <v/>
      </c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  <c r="BE89" s="341"/>
      <c r="BF89" s="341"/>
      <c r="BG89" s="341"/>
      <c r="BH89" s="341"/>
      <c r="BI89" s="341"/>
      <c r="BJ89" s="341"/>
      <c r="BK89" s="341"/>
      <c r="BL89" s="341"/>
      <c r="BM89" s="341"/>
      <c r="BN89" s="341"/>
      <c r="BO89" s="341"/>
      <c r="BP89" s="341"/>
      <c r="BQ89" s="341"/>
      <c r="BR89" s="341"/>
      <c r="BS89" s="341"/>
      <c r="BT89" s="341"/>
      <c r="BU89" s="341"/>
      <c r="BV89" s="341"/>
      <c r="BW89" s="341"/>
      <c r="BX89" s="341"/>
      <c r="BY89" s="341"/>
      <c r="BZ89" s="341"/>
      <c r="CA89" s="341"/>
      <c r="CB89" s="341"/>
      <c r="CC89" s="341"/>
      <c r="CD89" s="341"/>
      <c r="CE89" s="341"/>
      <c r="CF89" s="341"/>
      <c r="CG89" s="341"/>
      <c r="CH89" s="341"/>
      <c r="CI89" s="341"/>
      <c r="CJ89" s="341"/>
      <c r="CK89" s="341"/>
      <c r="CL89" s="341"/>
      <c r="CM89" s="341"/>
    </row>
    <row r="90" spans="1:91" ht="16.5" customHeight="1">
      <c r="B90" s="182">
        <v>3</v>
      </c>
      <c r="C90" s="949"/>
      <c r="D90" s="57" t="s">
        <v>83</v>
      </c>
      <c r="E90" s="370"/>
      <c r="F90" s="371"/>
      <c r="G90" s="353">
        <v>8</v>
      </c>
      <c r="H90" s="354"/>
      <c r="I90" s="355">
        <f t="shared" si="171"/>
        <v>0</v>
      </c>
      <c r="J90" s="21" t="e">
        <f>SUMIF('[1]Total 2'!$I:$I,_xlfn.TEXTJOIN(" ",TRUE,'NEW ATD PER TEAM'!$D$87,'NEW ATD PER TEAM'!$D90),'[1]Total 2'!L:L)</f>
        <v>#VALUE!</v>
      </c>
      <c r="K90" s="203" t="e">
        <f>J90*68/40</f>
        <v>#VALUE!</v>
      </c>
      <c r="L90" s="303" t="e">
        <f>SUMIF('[1]Total 2'!$I:$I,_xlfn.TEXTJOIN(" ",TRUE,'NEW ATD PER TEAM'!$D$87,'NEW ATD PER TEAM'!$D90),'[1]Total 2'!O:O)</f>
        <v>#VALUE!</v>
      </c>
      <c r="M90" s="315">
        <f t="shared" si="172"/>
        <v>0</v>
      </c>
      <c r="N90" s="21" t="e">
        <f>J90*68/24</f>
        <v>#VALUE!</v>
      </c>
      <c r="O90" s="316" t="e">
        <f>SUMIF('[1]Total 2'!$I:$I,_xlfn.TEXTJOIN(" ",TRUE,'NEW ATD PER TEAM'!$D$87,'NEW ATD PER TEAM'!$D90),'[1]Total 2'!R:R)</f>
        <v>#VALUE!</v>
      </c>
      <c r="P90" s="205">
        <f t="shared" si="173"/>
        <v>0</v>
      </c>
      <c r="Q90" s="18" t="e">
        <f>J90*68/24</f>
        <v>#VALUE!</v>
      </c>
      <c r="R90" s="103" t="e">
        <f>SUMIF('[1]Total 2'!$I:$I,_xlfn.TEXTJOIN(" ",TRUE,'NEW ATD PER TEAM'!$D$87,'NEW ATD PER TEAM'!$D90),'[1]Total 2'!U:U)</f>
        <v>#VALUE!</v>
      </c>
      <c r="S90" s="205">
        <f t="shared" si="174"/>
        <v>0</v>
      </c>
      <c r="T90" s="317" t="e">
        <f>J90*68/12</f>
        <v>#VALUE!</v>
      </c>
      <c r="U90" s="318" t="e">
        <f>SUMIF('[1]Total 2'!$I:$I,_xlfn.TEXTJOIN(" ",TRUE,'NEW ATD PER TEAM'!$D$87,'NEW ATD PER TEAM'!$D90),'[1]Total 2'!X:X)</f>
        <v>#VALUE!</v>
      </c>
      <c r="V90" s="319">
        <f t="shared" si="175"/>
        <v>0</v>
      </c>
      <c r="W90" s="359" t="e">
        <f>J90*68/12</f>
        <v>#VALUE!</v>
      </c>
      <c r="X90" s="360" t="e">
        <f>SUMIF('[1]Total 2'!$I:$I,_xlfn.TEXTJOIN(" ",TRUE,'NEW ATD PER TEAM'!$D$87,'NEW ATD PER TEAM'!$D90),'[1]Total 2'!AA:AA)</f>
        <v>#VALUE!</v>
      </c>
      <c r="Y90" s="205">
        <f t="shared" si="176"/>
        <v>0</v>
      </c>
      <c r="Z90" s="206" t="e">
        <f>SUMIF('[1]Total 2'!$I:$I,_xlfn.TEXTJOIN(" ",TRUE,'NEW ATD PER TEAM'!$D$87,'NEW ATD PER TEAM'!$D90),'[1]Total 2'!AC:AC)</f>
        <v>#VALUE!</v>
      </c>
      <c r="AA90" s="207" t="e">
        <f>SUMIF('[1]Total 2'!$I:$I,_xlfn.TEXTJOIN(" ",TRUE,'NEW ATD PER TEAM'!$D$87,'NEW ATD PER TEAM'!$D90),'[1]Total 2'!AD:AD)</f>
        <v>#VALUE!</v>
      </c>
      <c r="AB90" s="322"/>
      <c r="AC90" s="356" t="e">
        <f>J90*1854*40</f>
        <v>#VALUE!</v>
      </c>
      <c r="AD90" s="357" t="e">
        <f t="shared" si="177"/>
        <v>#VALUE!</v>
      </c>
      <c r="AE90" s="358" t="str">
        <f t="shared" si="178"/>
        <v/>
      </c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  <c r="BE90" s="341"/>
      <c r="BF90" s="341"/>
      <c r="BG90" s="341"/>
      <c r="BH90" s="341"/>
      <c r="BI90" s="341"/>
      <c r="BJ90" s="341"/>
      <c r="BK90" s="341"/>
      <c r="BL90" s="341"/>
      <c r="BM90" s="341"/>
      <c r="BN90" s="341"/>
      <c r="BO90" s="341"/>
      <c r="BP90" s="341"/>
      <c r="BQ90" s="341"/>
      <c r="BR90" s="341"/>
      <c r="BS90" s="341"/>
      <c r="BT90" s="341"/>
      <c r="BU90" s="341"/>
      <c r="BV90" s="341"/>
      <c r="BW90" s="341"/>
      <c r="BX90" s="341"/>
      <c r="BY90" s="341"/>
      <c r="BZ90" s="341"/>
      <c r="CA90" s="341"/>
      <c r="CB90" s="341"/>
      <c r="CC90" s="341"/>
      <c r="CD90" s="341"/>
      <c r="CE90" s="341"/>
      <c r="CF90" s="341"/>
      <c r="CG90" s="341"/>
      <c r="CH90" s="341"/>
      <c r="CI90" s="341"/>
      <c r="CJ90" s="341"/>
      <c r="CK90" s="341"/>
      <c r="CL90" s="341"/>
      <c r="CM90" s="341"/>
    </row>
    <row r="91" spans="1:91" ht="16.5" customHeight="1" thickBot="1">
      <c r="B91" s="182">
        <v>4</v>
      </c>
      <c r="C91" s="949"/>
      <c r="D91" s="209" t="s">
        <v>85</v>
      </c>
      <c r="E91" s="372"/>
      <c r="F91" s="373"/>
      <c r="G91" s="361">
        <v>8</v>
      </c>
      <c r="H91" s="362"/>
      <c r="I91" s="363">
        <f t="shared" si="171"/>
        <v>0</v>
      </c>
      <c r="J91" s="215" t="e">
        <f>SUMIF('[1]Total 2'!$I:$I,_xlfn.TEXTJOIN(" ",TRUE,'NEW ATD PER TEAM'!$D$87,'NEW ATD PER TEAM'!$D91),'[1]Total 2'!L:L)</f>
        <v>#VALUE!</v>
      </c>
      <c r="K91" s="213" t="e">
        <f>J91*68/40</f>
        <v>#VALUE!</v>
      </c>
      <c r="L91" s="303" t="e">
        <f>SUMIF('[1]Total 2'!$I:$I,_xlfn.TEXTJOIN(" ",TRUE,'NEW ATD PER TEAM'!$D$87,'NEW ATD PER TEAM'!$D91),'[1]Total 2'!O:O)</f>
        <v>#VALUE!</v>
      </c>
      <c r="M91" s="324">
        <f t="shared" si="172"/>
        <v>0</v>
      </c>
      <c r="N91" s="215" t="e">
        <f>J91*68/24</f>
        <v>#VALUE!</v>
      </c>
      <c r="O91" s="325" t="e">
        <f>SUMIF('[1]Total 2'!$I:$I,_xlfn.TEXTJOIN(" ",TRUE,'NEW ATD PER TEAM'!$D$87,'NEW ATD PER TEAM'!$D91),'[1]Total 2'!R:R)</f>
        <v>#VALUE!</v>
      </c>
      <c r="P91" s="216">
        <f t="shared" si="173"/>
        <v>0</v>
      </c>
      <c r="Q91" s="109" t="e">
        <f>J91*68/24</f>
        <v>#VALUE!</v>
      </c>
      <c r="R91" s="110" t="e">
        <f>SUMIF('[1]Total 2'!$I:$I,_xlfn.TEXTJOIN(" ",TRUE,'NEW ATD PER TEAM'!$D$87,'NEW ATD PER TEAM'!$D91),'[1]Total 2'!U:U)</f>
        <v>#VALUE!</v>
      </c>
      <c r="S91" s="216">
        <f t="shared" si="174"/>
        <v>0</v>
      </c>
      <c r="T91" s="326" t="e">
        <f>J91*68/12</f>
        <v>#VALUE!</v>
      </c>
      <c r="U91" s="327" t="e">
        <f>SUMIF('[1]Total 2'!$I:$I,_xlfn.TEXTJOIN(" ",TRUE,'NEW ATD PER TEAM'!$D$87,'NEW ATD PER TEAM'!$D91),'[1]Total 2'!X:X)</f>
        <v>#VALUE!</v>
      </c>
      <c r="V91" s="328">
        <f t="shared" si="175"/>
        <v>0</v>
      </c>
      <c r="W91" s="364" t="e">
        <f>J91*68/12</f>
        <v>#VALUE!</v>
      </c>
      <c r="X91" s="365" t="e">
        <f>SUMIF('[1]Total 2'!$I:$I,_xlfn.TEXTJOIN(" ",TRUE,'NEW ATD PER TEAM'!$D$87,'NEW ATD PER TEAM'!$D91),'[1]Total 2'!AA:AA)</f>
        <v>#VALUE!</v>
      </c>
      <c r="Y91" s="216">
        <f t="shared" si="176"/>
        <v>0</v>
      </c>
      <c r="Z91" s="217" t="e">
        <f>SUMIF('[1]Total 2'!$I:$I,_xlfn.TEXTJOIN(" ",TRUE,'NEW ATD PER TEAM'!$D$87,'NEW ATD PER TEAM'!$D91),'[1]Total 2'!AC:AC)</f>
        <v>#VALUE!</v>
      </c>
      <c r="AA91" s="218" t="e">
        <f>SUMIF('[1]Total 2'!$I:$I,_xlfn.TEXTJOIN(" ",TRUE,'NEW ATD PER TEAM'!$D$87,'NEW ATD PER TEAM'!$D91),'[1]Total 2'!AD:AD)</f>
        <v>#VALUE!</v>
      </c>
      <c r="AB91" s="331"/>
      <c r="AC91" s="366" t="e">
        <f>J91*1854*40</f>
        <v>#VALUE!</v>
      </c>
      <c r="AD91" s="367" t="e">
        <f t="shared" si="177"/>
        <v>#VALUE!</v>
      </c>
      <c r="AE91" s="368" t="str">
        <f t="shared" si="178"/>
        <v/>
      </c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  <c r="BE91" s="341"/>
      <c r="BF91" s="341"/>
      <c r="BG91" s="341"/>
      <c r="BH91" s="341"/>
      <c r="BI91" s="341"/>
      <c r="BJ91" s="341"/>
      <c r="BK91" s="341"/>
      <c r="BL91" s="341"/>
      <c r="BM91" s="341"/>
      <c r="BN91" s="341"/>
      <c r="BO91" s="341"/>
      <c r="BP91" s="341"/>
      <c r="BQ91" s="341"/>
      <c r="BR91" s="341"/>
      <c r="BS91" s="341"/>
      <c r="BT91" s="341"/>
      <c r="BU91" s="341"/>
      <c r="BV91" s="341"/>
      <c r="BW91" s="341"/>
      <c r="BX91" s="341"/>
      <c r="BY91" s="341"/>
      <c r="BZ91" s="341"/>
      <c r="CA91" s="341"/>
      <c r="CB91" s="341"/>
      <c r="CC91" s="341"/>
      <c r="CD91" s="341"/>
      <c r="CE91" s="341"/>
      <c r="CF91" s="341"/>
      <c r="CG91" s="341"/>
      <c r="CH91" s="341"/>
      <c r="CI91" s="341"/>
      <c r="CJ91" s="341"/>
      <c r="CK91" s="341"/>
      <c r="CL91" s="341"/>
      <c r="CM91" s="341"/>
    </row>
    <row r="92" spans="1:91" s="342" customFormat="1" ht="16.2" thickBot="1">
      <c r="A92"/>
      <c r="B92" s="153"/>
      <c r="C92" s="949"/>
      <c r="D92" s="333"/>
      <c r="E92" s="222" t="s">
        <v>70</v>
      </c>
      <c r="F92" s="334"/>
      <c r="G92" s="224">
        <f>SUM(G88:G91)</f>
        <v>32</v>
      </c>
      <c r="H92" s="224">
        <f>SUM(H88:H91)</f>
        <v>11</v>
      </c>
      <c r="I92" s="225">
        <f t="shared" si="171"/>
        <v>0.34375</v>
      </c>
      <c r="J92" s="226" t="e">
        <f>SUM(J88:J91)</f>
        <v>#VALUE!</v>
      </c>
      <c r="K92" s="335" t="e">
        <f t="shared" ref="K92:L92" si="179">SUM(K88:K91)</f>
        <v>#VALUE!</v>
      </c>
      <c r="L92" s="336" t="e">
        <f t="shared" si="179"/>
        <v>#VALUE!</v>
      </c>
      <c r="M92" s="337">
        <f t="shared" si="172"/>
        <v>0</v>
      </c>
      <c r="N92" s="289" t="e">
        <f t="shared" ref="N92:O92" si="180">SUM(N88:N91)</f>
        <v>#VALUE!</v>
      </c>
      <c r="O92" s="290" t="e">
        <f t="shared" si="180"/>
        <v>#VALUE!</v>
      </c>
      <c r="P92" s="291">
        <f t="shared" si="173"/>
        <v>0</v>
      </c>
      <c r="Q92" s="289" t="e">
        <f t="shared" ref="Q92:R92" si="181">SUM(Q88:Q91)</f>
        <v>#VALUE!</v>
      </c>
      <c r="R92" s="290" t="e">
        <f t="shared" si="181"/>
        <v>#VALUE!</v>
      </c>
      <c r="S92" s="291">
        <f t="shared" si="174"/>
        <v>0</v>
      </c>
      <c r="T92" s="338" t="e">
        <f t="shared" ref="T92:U92" si="182">SUM(T88:T91)</f>
        <v>#VALUE!</v>
      </c>
      <c r="U92" s="339" t="e">
        <f t="shared" si="182"/>
        <v>#VALUE!</v>
      </c>
      <c r="V92" s="291">
        <f t="shared" si="175"/>
        <v>0</v>
      </c>
      <c r="W92" s="374" t="e">
        <f t="shared" ref="W92:X92" si="183">SUM(W88:W91)</f>
        <v>#VALUE!</v>
      </c>
      <c r="X92" s="375" t="e">
        <f t="shared" si="183"/>
        <v>#VALUE!</v>
      </c>
      <c r="Y92" s="291">
        <f t="shared" si="176"/>
        <v>0</v>
      </c>
      <c r="Z92" s="234" t="e">
        <f>SUM(Z88:Z91)</f>
        <v>#VALUE!</v>
      </c>
      <c r="AA92" s="234" t="e">
        <f>SUM(AA88:AA91)</f>
        <v>#VALUE!</v>
      </c>
      <c r="AB92" s="340"/>
      <c r="AC92" s="234" t="e">
        <f>SUM(AC88:AC91)</f>
        <v>#VALUE!</v>
      </c>
      <c r="AD92" s="235" t="e">
        <f>SUM(AD88:AD91)</f>
        <v>#VALUE!</v>
      </c>
      <c r="AE92" s="236" t="str">
        <f t="shared" si="178"/>
        <v/>
      </c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  <c r="BE92" s="341"/>
      <c r="BF92" s="341"/>
      <c r="BG92" s="341"/>
      <c r="BH92" s="341"/>
      <c r="BI92" s="341"/>
      <c r="BJ92" s="341"/>
      <c r="BK92" s="341"/>
      <c r="BL92" s="341"/>
      <c r="BM92" s="341"/>
      <c r="BN92" s="341"/>
      <c r="BO92" s="341"/>
      <c r="BP92" s="341"/>
      <c r="BQ92" s="341"/>
      <c r="BR92" s="341"/>
      <c r="BS92" s="341"/>
      <c r="BT92" s="341"/>
      <c r="BU92" s="341"/>
      <c r="BV92" s="341"/>
      <c r="BW92" s="341"/>
      <c r="BX92" s="341"/>
      <c r="BY92" s="341"/>
      <c r="BZ92" s="341"/>
      <c r="CA92" s="341"/>
      <c r="CB92" s="341"/>
      <c r="CC92" s="341"/>
      <c r="CD92" s="341"/>
      <c r="CE92" s="341"/>
      <c r="CF92" s="341"/>
      <c r="CG92" s="341"/>
      <c r="CH92" s="341"/>
      <c r="CI92" s="341"/>
      <c r="CJ92" s="341"/>
      <c r="CK92" s="341"/>
      <c r="CL92" s="341"/>
      <c r="CM92" s="341"/>
    </row>
    <row r="93" spans="1:91" ht="16.5" customHeight="1" thickBot="1">
      <c r="B93" s="182"/>
      <c r="C93" s="948"/>
      <c r="D93" s="170" t="s">
        <v>130</v>
      </c>
      <c r="E93" s="241"/>
      <c r="F93" s="295" t="s">
        <v>60</v>
      </c>
      <c r="G93" s="343"/>
      <c r="H93" s="343"/>
      <c r="I93" s="344"/>
      <c r="J93" s="239"/>
      <c r="K93" s="239"/>
      <c r="L93" s="239"/>
      <c r="M93" s="297"/>
      <c r="N93" s="239"/>
      <c r="O93" s="239"/>
      <c r="P93" s="242"/>
      <c r="Q93" s="241"/>
      <c r="R93" s="241"/>
      <c r="S93" s="242"/>
      <c r="T93" s="298"/>
      <c r="U93" s="298"/>
      <c r="V93" s="240"/>
      <c r="W93" s="245"/>
      <c r="X93" s="245"/>
      <c r="Y93" s="242"/>
      <c r="Z93" s="180"/>
      <c r="AA93" s="180"/>
      <c r="AB93" s="300"/>
      <c r="AC93" s="263"/>
      <c r="AD93" s="263"/>
      <c r="AE93" s="264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  <c r="BE93" s="341"/>
      <c r="BF93" s="341"/>
      <c r="BG93" s="341"/>
      <c r="BH93" s="341"/>
      <c r="BI93" s="341"/>
      <c r="BJ93" s="341"/>
      <c r="BK93" s="341"/>
      <c r="BL93" s="341"/>
      <c r="BM93" s="341"/>
      <c r="BN93" s="341"/>
      <c r="BO93" s="341"/>
      <c r="BP93" s="341"/>
      <c r="BQ93" s="341"/>
      <c r="BR93" s="341"/>
      <c r="BS93" s="341"/>
      <c r="BT93" s="341"/>
      <c r="BU93" s="341"/>
      <c r="BV93" s="341"/>
      <c r="BW93" s="341"/>
      <c r="BX93" s="341"/>
      <c r="BY93" s="341"/>
      <c r="BZ93" s="341"/>
      <c r="CA93" s="341"/>
      <c r="CB93" s="341"/>
      <c r="CC93" s="341"/>
      <c r="CD93" s="341"/>
      <c r="CE93" s="341"/>
      <c r="CF93" s="341"/>
      <c r="CG93" s="341"/>
      <c r="CH93" s="341"/>
      <c r="CI93" s="341"/>
      <c r="CJ93" s="341"/>
      <c r="CK93" s="341"/>
      <c r="CL93" s="341"/>
      <c r="CM93" s="341"/>
    </row>
    <row r="94" spans="1:91" ht="16.5" customHeight="1">
      <c r="B94" s="182">
        <v>1</v>
      </c>
      <c r="C94" s="949"/>
      <c r="D94" s="97" t="s">
        <v>79</v>
      </c>
      <c r="E94" s="265" t="s">
        <v>131</v>
      </c>
      <c r="F94" s="376"/>
      <c r="G94" s="345">
        <v>8</v>
      </c>
      <c r="H94" s="346">
        <v>7</v>
      </c>
      <c r="I94" s="347">
        <f>IFERROR(H94/G94,"")</f>
        <v>0.875</v>
      </c>
      <c r="J94" s="188" t="e">
        <f>SUMIF('[1]Total 2'!$I:$I,_xlfn.TEXTJOIN(" ",TRUE,'NEW ATD PER TEAM'!$D$93,'NEW ATD PER TEAM'!$D94),'[1]Total 2'!L:L)</f>
        <v>#VALUE!</v>
      </c>
      <c r="K94" s="302" t="e">
        <f>J94*68/40</f>
        <v>#VALUE!</v>
      </c>
      <c r="L94" s="303" t="e">
        <f>SUMIF('[1]Total 2'!$I:$I,_xlfn.TEXTJOIN(" ",TRUE,'NEW ATD PER TEAM'!$D$93,'NEW ATD PER TEAM'!$D94),'[1]Total 2'!O:O)</f>
        <v>#VALUE!</v>
      </c>
      <c r="M94" s="304">
        <f>IFERROR(L94/K94,0)</f>
        <v>0</v>
      </c>
      <c r="N94" s="305" t="e">
        <f>J94*68/24</f>
        <v>#VALUE!</v>
      </c>
      <c r="O94" s="184" t="e">
        <f>SUMIF('[1]Total 2'!$I:$I,_xlfn.TEXTJOIN(" ",TRUE,'NEW ATD PER TEAM'!$D$93,'NEW ATD PER TEAM'!$D94),'[1]Total 2'!R:R)</f>
        <v>#VALUE!</v>
      </c>
      <c r="P94" s="191">
        <f>IFERROR(O94/N94,0)</f>
        <v>0</v>
      </c>
      <c r="Q94" s="192" t="e">
        <f>J94*68/24</f>
        <v>#VALUE!</v>
      </c>
      <c r="R94" s="193"/>
      <c r="S94" s="191">
        <f>IFERROR(R94/Q94,0)</f>
        <v>0</v>
      </c>
      <c r="T94" s="306" t="e">
        <f>J94*68/12</f>
        <v>#VALUE!</v>
      </c>
      <c r="U94" s="307" t="e">
        <f>SUMIF('[1]Total 2'!$I:$I,_xlfn.TEXTJOIN(" ",TRUE,'NEW ATD PER TEAM'!$D$93,'NEW ATD PER TEAM'!$D94),'[1]Total 2'!X:X)</f>
        <v>#VALUE!</v>
      </c>
      <c r="V94" s="308">
        <f>IFERROR(U94/T94,0)</f>
        <v>0</v>
      </c>
      <c r="W94" s="348" t="e">
        <f>J94*68/12</f>
        <v>#VALUE!</v>
      </c>
      <c r="X94" s="349" t="e">
        <f>SUMIF('[1]Total 2'!$I:$I,_xlfn.TEXTJOIN(" ",TRUE,'NEW ATD PER TEAM'!$D$93,'NEW ATD PER TEAM'!$D94),'[1]Total 2'!AA:AA)</f>
        <v>#VALUE!</v>
      </c>
      <c r="Y94" s="191">
        <f>IFERROR(X94/W94,0)</f>
        <v>0</v>
      </c>
      <c r="Z94" s="197" t="e">
        <f>SUMIF('[1]Total 2'!$I:$I,_xlfn.TEXTJOIN(" ",TRUE,'NEW ATD PER TEAM'!$D$93,'NEW ATD PER TEAM'!$D94),'[1]Total 2'!AC:AC)</f>
        <v>#VALUE!</v>
      </c>
      <c r="AA94" s="253" t="e">
        <f>SUMIF('[1]Total 2'!$I:$I,_xlfn.TEXTJOIN(" ",TRUE,'NEW ATD PER TEAM'!$D$93,'NEW ATD PER TEAM'!$D94),'[1]Total 2'!AD:AD)</f>
        <v>#VALUE!</v>
      </c>
      <c r="AB94" s="311"/>
      <c r="AC94" s="350" t="e">
        <f>J94*1854*40</f>
        <v>#VALUE!</v>
      </c>
      <c r="AD94" s="351" t="e">
        <f>AA94</f>
        <v>#VALUE!</v>
      </c>
      <c r="AE94" s="352" t="str">
        <f>IFERROR(AD94/AC94,"")</f>
        <v/>
      </c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  <c r="BE94" s="341"/>
      <c r="BF94" s="341"/>
      <c r="BG94" s="341"/>
      <c r="BH94" s="341"/>
      <c r="BI94" s="341"/>
      <c r="BJ94" s="341"/>
      <c r="BK94" s="341"/>
      <c r="BL94" s="341"/>
      <c r="BM94" s="341"/>
      <c r="BN94" s="341"/>
      <c r="BO94" s="341"/>
      <c r="BP94" s="341"/>
      <c r="BQ94" s="341"/>
      <c r="BR94" s="341"/>
      <c r="BS94" s="341"/>
      <c r="BT94" s="341"/>
      <c r="BU94" s="341"/>
      <c r="BV94" s="341"/>
      <c r="BW94" s="341"/>
      <c r="BX94" s="341"/>
      <c r="BY94" s="341"/>
      <c r="BZ94" s="341"/>
      <c r="CA94" s="341"/>
      <c r="CB94" s="341"/>
      <c r="CC94" s="341"/>
      <c r="CD94" s="341"/>
      <c r="CE94" s="341"/>
      <c r="CF94" s="341"/>
      <c r="CG94" s="341"/>
      <c r="CH94" s="341"/>
      <c r="CI94" s="341"/>
      <c r="CJ94" s="341"/>
      <c r="CK94" s="341"/>
      <c r="CL94" s="341"/>
      <c r="CM94" s="341"/>
    </row>
    <row r="95" spans="1:91" ht="16.5" customHeight="1">
      <c r="B95" s="182">
        <v>2</v>
      </c>
      <c r="C95" s="949"/>
      <c r="D95" s="57" t="s">
        <v>81</v>
      </c>
      <c r="E95" s="313" t="s">
        <v>132</v>
      </c>
      <c r="F95" s="313"/>
      <c r="G95" s="353">
        <v>8</v>
      </c>
      <c r="H95" s="354">
        <v>7</v>
      </c>
      <c r="I95" s="355">
        <f t="shared" ref="I95:I98" si="184">IFERROR(H95/G95,"")</f>
        <v>0.875</v>
      </c>
      <c r="J95" s="21" t="e">
        <f>SUMIF('[1]Total 2'!$I:$I,_xlfn.TEXTJOIN(" ",TRUE,'NEW ATD PER TEAM'!$D$93,'NEW ATD PER TEAM'!$D95),'[1]Total 2'!L:L)</f>
        <v>#VALUE!</v>
      </c>
      <c r="K95" s="203" t="e">
        <f>J95*68/40</f>
        <v>#VALUE!</v>
      </c>
      <c r="L95" s="303" t="e">
        <f>SUMIF('[1]Total 2'!$I:$I,_xlfn.TEXTJOIN(" ",TRUE,'NEW ATD PER TEAM'!$D$93,'NEW ATD PER TEAM'!$D95),'[1]Total 2'!O:O)</f>
        <v>#VALUE!</v>
      </c>
      <c r="M95" s="315">
        <f t="shared" ref="M95:M98" si="185">IFERROR(L95/K95,0)</f>
        <v>0</v>
      </c>
      <c r="N95" s="21" t="e">
        <f>J95*68/24</f>
        <v>#VALUE!</v>
      </c>
      <c r="O95" s="316" t="e">
        <f>SUMIF('[1]Total 2'!$I:$I,_xlfn.TEXTJOIN(" ",TRUE,'NEW ATD PER TEAM'!$D$93,'NEW ATD PER TEAM'!$D95),'[1]Total 2'!R:R)</f>
        <v>#VALUE!</v>
      </c>
      <c r="P95" s="205">
        <f t="shared" ref="P95:P98" si="186">IFERROR(O95/N95,0)</f>
        <v>0</v>
      </c>
      <c r="Q95" s="18" t="e">
        <f>J95*68/24</f>
        <v>#VALUE!</v>
      </c>
      <c r="R95" s="103"/>
      <c r="S95" s="205">
        <f t="shared" ref="S95:S98" si="187">IFERROR(R95/Q95,0)</f>
        <v>0</v>
      </c>
      <c r="T95" s="317" t="e">
        <f>J95*68/12</f>
        <v>#VALUE!</v>
      </c>
      <c r="U95" s="318" t="e">
        <f>SUMIF('[1]Total 2'!$I:$I,_xlfn.TEXTJOIN(" ",TRUE,'NEW ATD PER TEAM'!$D$93,'NEW ATD PER TEAM'!$D95),'[1]Total 2'!X:X)</f>
        <v>#VALUE!</v>
      </c>
      <c r="V95" s="319">
        <f t="shared" ref="V95:V98" si="188">IFERROR(U95/T95,0)</f>
        <v>0</v>
      </c>
      <c r="W95" s="359" t="e">
        <f>J95*68/12</f>
        <v>#VALUE!</v>
      </c>
      <c r="X95" s="360" t="e">
        <f>SUMIF('[1]Total 2'!$I:$I,_xlfn.TEXTJOIN(" ",TRUE,'NEW ATD PER TEAM'!$D$93,'NEW ATD PER TEAM'!$D95),'[1]Total 2'!AA:AA)</f>
        <v>#VALUE!</v>
      </c>
      <c r="Y95" s="205">
        <f t="shared" ref="Y95:Y98" si="189">IFERROR(X95/W95,0)</f>
        <v>0</v>
      </c>
      <c r="Z95" s="206" t="e">
        <f>SUMIF('[1]Total 2'!$I:$I,_xlfn.TEXTJOIN(" ",TRUE,'NEW ATD PER TEAM'!$D$93,'NEW ATD PER TEAM'!$D95),'[1]Total 2'!AC:AC)</f>
        <v>#VALUE!</v>
      </c>
      <c r="AA95" s="207" t="e">
        <f>SUMIF('[1]Total 2'!$I:$I,_xlfn.TEXTJOIN(" ",TRUE,'NEW ATD PER TEAM'!$D$93,'NEW ATD PER TEAM'!$D95),'[1]Total 2'!AD:AD)</f>
        <v>#VALUE!</v>
      </c>
      <c r="AB95" s="322"/>
      <c r="AC95" s="356" t="e">
        <f>J95*1854*40</f>
        <v>#VALUE!</v>
      </c>
      <c r="AD95" s="357" t="e">
        <f t="shared" ref="AD95:AD97" si="190">AA95</f>
        <v>#VALUE!</v>
      </c>
      <c r="AE95" s="358" t="str">
        <f t="shared" ref="AE95:AE98" si="191">IFERROR(AD95/AC95,"")</f>
        <v/>
      </c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  <c r="BE95" s="341"/>
      <c r="BF95" s="341"/>
      <c r="BG95" s="341"/>
      <c r="BH95" s="341"/>
      <c r="BI95" s="341"/>
      <c r="BJ95" s="341"/>
      <c r="BK95" s="341"/>
      <c r="BL95" s="341"/>
      <c r="BM95" s="341"/>
      <c r="BN95" s="341"/>
      <c r="BO95" s="341"/>
      <c r="BP95" s="341"/>
      <c r="BQ95" s="341"/>
      <c r="BR95" s="341"/>
      <c r="BS95" s="341"/>
      <c r="BT95" s="341"/>
      <c r="BU95" s="341"/>
      <c r="BV95" s="341"/>
      <c r="BW95" s="341"/>
      <c r="BX95" s="341"/>
      <c r="BY95" s="341"/>
      <c r="BZ95" s="341"/>
      <c r="CA95" s="341"/>
      <c r="CB95" s="341"/>
      <c r="CC95" s="341"/>
      <c r="CD95" s="341"/>
      <c r="CE95" s="341"/>
      <c r="CF95" s="341"/>
      <c r="CG95" s="341"/>
      <c r="CH95" s="341"/>
      <c r="CI95" s="341"/>
      <c r="CJ95" s="341"/>
      <c r="CK95" s="341"/>
      <c r="CL95" s="341"/>
      <c r="CM95" s="341"/>
    </row>
    <row r="96" spans="1:91" ht="16.5" customHeight="1">
      <c r="B96" s="182">
        <v>3</v>
      </c>
      <c r="C96" s="949"/>
      <c r="D96" s="57" t="s">
        <v>83</v>
      </c>
      <c r="E96" s="370"/>
      <c r="F96" s="371"/>
      <c r="G96" s="353">
        <v>8</v>
      </c>
      <c r="H96" s="354"/>
      <c r="I96" s="355">
        <f t="shared" si="184"/>
        <v>0</v>
      </c>
      <c r="J96" s="21" t="e">
        <f>SUMIF('[1]Total 2'!$I:$I,_xlfn.TEXTJOIN(" ",TRUE,'NEW ATD PER TEAM'!$D$93,'NEW ATD PER TEAM'!$D96),'[1]Total 2'!L:L)</f>
        <v>#VALUE!</v>
      </c>
      <c r="K96" s="203" t="e">
        <f>J96*68/40</f>
        <v>#VALUE!</v>
      </c>
      <c r="L96" s="303" t="e">
        <f>SUMIF('[1]Total 2'!$I:$I,_xlfn.TEXTJOIN(" ",TRUE,'NEW ATD PER TEAM'!$D$93,'NEW ATD PER TEAM'!$D96),'[1]Total 2'!O:O)</f>
        <v>#VALUE!</v>
      </c>
      <c r="M96" s="315">
        <f t="shared" si="185"/>
        <v>0</v>
      </c>
      <c r="N96" s="21" t="e">
        <f>J96*68/24</f>
        <v>#VALUE!</v>
      </c>
      <c r="O96" s="316" t="e">
        <f>SUMIF('[1]Total 2'!$I:$I,_xlfn.TEXTJOIN(" ",TRUE,'NEW ATD PER TEAM'!$D$93,'NEW ATD PER TEAM'!$D96),'[1]Total 2'!R:R)</f>
        <v>#VALUE!</v>
      </c>
      <c r="P96" s="205">
        <f t="shared" si="186"/>
        <v>0</v>
      </c>
      <c r="Q96" s="18" t="e">
        <f>J96*68/24</f>
        <v>#VALUE!</v>
      </c>
      <c r="R96" s="103"/>
      <c r="S96" s="205">
        <f t="shared" si="187"/>
        <v>0</v>
      </c>
      <c r="T96" s="317" t="e">
        <f>J96*68/12</f>
        <v>#VALUE!</v>
      </c>
      <c r="U96" s="318" t="e">
        <f>SUMIF('[1]Total 2'!$I:$I,_xlfn.TEXTJOIN(" ",TRUE,'NEW ATD PER TEAM'!$D$93,'NEW ATD PER TEAM'!$D96),'[1]Total 2'!X:X)</f>
        <v>#VALUE!</v>
      </c>
      <c r="V96" s="319">
        <f t="shared" si="188"/>
        <v>0</v>
      </c>
      <c r="W96" s="359" t="e">
        <f>J96*68/12</f>
        <v>#VALUE!</v>
      </c>
      <c r="X96" s="360" t="e">
        <f>SUMIF('[1]Total 2'!$I:$I,_xlfn.TEXTJOIN(" ",TRUE,'NEW ATD PER TEAM'!$D$93,'NEW ATD PER TEAM'!$D96),'[1]Total 2'!AA:AA)</f>
        <v>#VALUE!</v>
      </c>
      <c r="Y96" s="205">
        <f t="shared" si="189"/>
        <v>0</v>
      </c>
      <c r="Z96" s="206" t="e">
        <f>SUMIF('[1]Total 2'!$I:$I,_xlfn.TEXTJOIN(" ",TRUE,'NEW ATD PER TEAM'!$D$93,'NEW ATD PER TEAM'!$D96),'[1]Total 2'!AC:AC)</f>
        <v>#VALUE!</v>
      </c>
      <c r="AA96" s="207" t="e">
        <f>SUMIF('[1]Total 2'!$I:$I,_xlfn.TEXTJOIN(" ",TRUE,'NEW ATD PER TEAM'!$D$93,'NEW ATD PER TEAM'!$D96),'[1]Total 2'!AD:AD)</f>
        <v>#VALUE!</v>
      </c>
      <c r="AB96" s="322"/>
      <c r="AC96" s="356" t="e">
        <f>J96*1854*40</f>
        <v>#VALUE!</v>
      </c>
      <c r="AD96" s="357" t="e">
        <f t="shared" si="190"/>
        <v>#VALUE!</v>
      </c>
      <c r="AE96" s="358" t="str">
        <f t="shared" si="191"/>
        <v/>
      </c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  <c r="BE96" s="341"/>
      <c r="BF96" s="341"/>
      <c r="BG96" s="341"/>
      <c r="BH96" s="341"/>
      <c r="BI96" s="341"/>
      <c r="BJ96" s="341"/>
      <c r="BK96" s="341"/>
      <c r="BL96" s="341"/>
      <c r="BM96" s="341"/>
      <c r="BN96" s="341"/>
      <c r="BO96" s="341"/>
      <c r="BP96" s="341"/>
      <c r="BQ96" s="341"/>
      <c r="BR96" s="341"/>
      <c r="BS96" s="341"/>
      <c r="BT96" s="341"/>
      <c r="BU96" s="341"/>
      <c r="BV96" s="341"/>
      <c r="BW96" s="341"/>
      <c r="BX96" s="341"/>
      <c r="BY96" s="341"/>
      <c r="BZ96" s="341"/>
      <c r="CA96" s="341"/>
      <c r="CB96" s="341"/>
      <c r="CC96" s="341"/>
      <c r="CD96" s="341"/>
      <c r="CE96" s="341"/>
      <c r="CF96" s="341"/>
      <c r="CG96" s="341"/>
      <c r="CH96" s="341"/>
      <c r="CI96" s="341"/>
      <c r="CJ96" s="341"/>
      <c r="CK96" s="341"/>
      <c r="CL96" s="341"/>
      <c r="CM96" s="341"/>
    </row>
    <row r="97" spans="1:91" ht="16.5" customHeight="1" thickBot="1">
      <c r="B97" s="276">
        <v>4</v>
      </c>
      <c r="C97" s="949"/>
      <c r="D97" s="209" t="s">
        <v>85</v>
      </c>
      <c r="E97" s="372"/>
      <c r="F97" s="373"/>
      <c r="G97" s="361">
        <v>8</v>
      </c>
      <c r="H97" s="362"/>
      <c r="I97" s="363">
        <f t="shared" si="184"/>
        <v>0</v>
      </c>
      <c r="J97" s="215" t="e">
        <f>SUMIF('[1]Total 2'!$I:$I,_xlfn.TEXTJOIN(" ",TRUE,'NEW ATD PER TEAM'!$D$93,'NEW ATD PER TEAM'!$D97),'[1]Total 2'!L:L)</f>
        <v>#VALUE!</v>
      </c>
      <c r="K97" s="213" t="e">
        <f>J97*68/40</f>
        <v>#VALUE!</v>
      </c>
      <c r="L97" s="303" t="e">
        <f>SUMIF('[1]Total 2'!$I:$I,_xlfn.TEXTJOIN(" ",TRUE,'NEW ATD PER TEAM'!$D$93,'NEW ATD PER TEAM'!$D97),'[1]Total 2'!O:O)</f>
        <v>#VALUE!</v>
      </c>
      <c r="M97" s="324">
        <f t="shared" si="185"/>
        <v>0</v>
      </c>
      <c r="N97" s="215" t="e">
        <f>J97*68/24</f>
        <v>#VALUE!</v>
      </c>
      <c r="O97" s="325" t="e">
        <f>SUMIF('[1]Total 2'!$I:$I,_xlfn.TEXTJOIN(" ",TRUE,'NEW ATD PER TEAM'!$D$93,'NEW ATD PER TEAM'!$D97),'[1]Total 2'!R:R)</f>
        <v>#VALUE!</v>
      </c>
      <c r="P97" s="216">
        <f t="shared" si="186"/>
        <v>0</v>
      </c>
      <c r="Q97" s="109" t="e">
        <f>J97*68/24</f>
        <v>#VALUE!</v>
      </c>
      <c r="R97" s="110"/>
      <c r="S97" s="216">
        <f t="shared" si="187"/>
        <v>0</v>
      </c>
      <c r="T97" s="326" t="e">
        <f>J97*68/12</f>
        <v>#VALUE!</v>
      </c>
      <c r="U97" s="327" t="e">
        <f>SUMIF('[1]Total 2'!$I:$I,_xlfn.TEXTJOIN(" ",TRUE,'NEW ATD PER TEAM'!$D$93,'NEW ATD PER TEAM'!$D97),'[1]Total 2'!X:X)</f>
        <v>#VALUE!</v>
      </c>
      <c r="V97" s="328">
        <f t="shared" si="188"/>
        <v>0</v>
      </c>
      <c r="W97" s="364" t="e">
        <f>J97*68/12</f>
        <v>#VALUE!</v>
      </c>
      <c r="X97" s="365" t="e">
        <f>SUMIF('[1]Total 2'!$I:$I,_xlfn.TEXTJOIN(" ",TRUE,'NEW ATD PER TEAM'!$D$93,'NEW ATD PER TEAM'!$D97),'[1]Total 2'!AA:AA)</f>
        <v>#VALUE!</v>
      </c>
      <c r="Y97" s="216">
        <f t="shared" si="189"/>
        <v>0</v>
      </c>
      <c r="Z97" s="217" t="e">
        <f>SUMIF('[1]Total 2'!$I:$I,_xlfn.TEXTJOIN(" ",TRUE,'NEW ATD PER TEAM'!$D$93,'NEW ATD PER TEAM'!$D97),'[1]Total 2'!AC:AC)</f>
        <v>#VALUE!</v>
      </c>
      <c r="AA97" s="218" t="e">
        <f>SUMIF('[1]Total 2'!$I:$I,_xlfn.TEXTJOIN(" ",TRUE,'NEW ATD PER TEAM'!$D$93,'NEW ATD PER TEAM'!$D97),'[1]Total 2'!AD:AD)</f>
        <v>#VALUE!</v>
      </c>
      <c r="AB97" s="331"/>
      <c r="AC97" s="366" t="e">
        <f>J97*1854*40</f>
        <v>#VALUE!</v>
      </c>
      <c r="AD97" s="367" t="e">
        <f t="shared" si="190"/>
        <v>#VALUE!</v>
      </c>
      <c r="AE97" s="368" t="str">
        <f t="shared" si="191"/>
        <v/>
      </c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  <c r="BE97" s="341"/>
      <c r="BF97" s="341"/>
      <c r="BG97" s="341"/>
      <c r="BH97" s="341"/>
      <c r="BI97" s="341"/>
      <c r="BJ97" s="341"/>
      <c r="BK97" s="341"/>
      <c r="BL97" s="341"/>
      <c r="BM97" s="341"/>
      <c r="BN97" s="341"/>
      <c r="BO97" s="341"/>
      <c r="BP97" s="341"/>
      <c r="BQ97" s="341"/>
      <c r="BR97" s="341"/>
      <c r="BS97" s="341"/>
      <c r="BT97" s="341"/>
      <c r="BU97" s="341"/>
      <c r="BV97" s="341"/>
      <c r="BW97" s="341"/>
      <c r="BX97" s="341"/>
      <c r="BY97" s="341"/>
      <c r="BZ97" s="341"/>
      <c r="CA97" s="341"/>
      <c r="CB97" s="341"/>
      <c r="CC97" s="341"/>
      <c r="CD97" s="341"/>
      <c r="CE97" s="341"/>
      <c r="CF97" s="341"/>
      <c r="CG97" s="341"/>
      <c r="CH97" s="341"/>
      <c r="CI97" s="341"/>
      <c r="CJ97" s="341"/>
      <c r="CK97" s="341"/>
      <c r="CL97" s="341"/>
      <c r="CM97" s="341"/>
    </row>
    <row r="98" spans="1:91" s="342" customFormat="1" ht="18.600000000000001" thickBot="1">
      <c r="A98"/>
      <c r="B98" s="377" t="s">
        <v>70</v>
      </c>
      <c r="C98" s="378"/>
      <c r="D98" s="379"/>
      <c r="E98" s="380"/>
      <c r="F98" s="381"/>
      <c r="G98" s="224">
        <f>SUM(G94:G97)</f>
        <v>32</v>
      </c>
      <c r="H98" s="224">
        <f>SUM(H94:H97)</f>
        <v>14</v>
      </c>
      <c r="I98" s="225">
        <f t="shared" si="184"/>
        <v>0.4375</v>
      </c>
      <c r="J98" s="226" t="e">
        <f>SUM(J94:J97)</f>
        <v>#VALUE!</v>
      </c>
      <c r="K98" s="382" t="e">
        <f t="shared" ref="K98:L98" si="192">SUM(K94:K97)</f>
        <v>#VALUE!</v>
      </c>
      <c r="L98" s="278" t="e">
        <f t="shared" si="192"/>
        <v>#VALUE!</v>
      </c>
      <c r="M98" s="383">
        <f t="shared" si="185"/>
        <v>0</v>
      </c>
      <c r="N98" s="384" t="e">
        <f t="shared" ref="N98:O98" si="193">SUM(N94:N97)</f>
        <v>#VALUE!</v>
      </c>
      <c r="O98" s="385" t="e">
        <f t="shared" si="193"/>
        <v>#VALUE!</v>
      </c>
      <c r="P98" s="236">
        <f t="shared" si="186"/>
        <v>0</v>
      </c>
      <c r="Q98" s="384" t="e">
        <f t="shared" ref="Q98" si="194">SUM(Q94:Q97)</f>
        <v>#VALUE!</v>
      </c>
      <c r="R98" s="385"/>
      <c r="S98" s="236">
        <f t="shared" si="187"/>
        <v>0</v>
      </c>
      <c r="T98" s="386" t="e">
        <f t="shared" ref="T98:U98" si="195">SUM(T94:T97)</f>
        <v>#VALUE!</v>
      </c>
      <c r="U98" s="387" t="e">
        <f t="shared" si="195"/>
        <v>#VALUE!</v>
      </c>
      <c r="V98" s="236">
        <f t="shared" si="188"/>
        <v>0</v>
      </c>
      <c r="W98" s="384" t="e">
        <f t="shared" ref="W98:X98" si="196">SUM(W94:W97)</f>
        <v>#VALUE!</v>
      </c>
      <c r="X98" s="385" t="e">
        <f t="shared" si="196"/>
        <v>#VALUE!</v>
      </c>
      <c r="Y98" s="236">
        <f t="shared" si="189"/>
        <v>0</v>
      </c>
      <c r="Z98" s="234" t="e">
        <f>SUM(Z94:Z97)</f>
        <v>#VALUE!</v>
      </c>
      <c r="AA98" s="234" t="e">
        <f>SUM(AA94:AA97)</f>
        <v>#VALUE!</v>
      </c>
      <c r="AB98" s="340"/>
      <c r="AC98" s="234" t="e">
        <f>SUM(AC94:AC97)</f>
        <v>#VALUE!</v>
      </c>
      <c r="AD98" s="235" t="e">
        <f>SUM(AD94:AD97)</f>
        <v>#VALUE!</v>
      </c>
      <c r="AE98" s="236" t="str">
        <f t="shared" si="191"/>
        <v/>
      </c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  <c r="BE98" s="341"/>
      <c r="BF98" s="341"/>
      <c r="BG98" s="341"/>
      <c r="BH98" s="341"/>
      <c r="BI98" s="341"/>
      <c r="BJ98" s="341"/>
      <c r="BK98" s="341"/>
      <c r="BL98" s="341"/>
      <c r="BM98" s="341"/>
      <c r="BN98" s="341"/>
      <c r="BO98" s="341"/>
      <c r="BP98" s="341"/>
      <c r="BQ98" s="341"/>
      <c r="BR98" s="341"/>
      <c r="BS98" s="341"/>
      <c r="BT98" s="341"/>
      <c r="BU98" s="341"/>
      <c r="BV98" s="341"/>
      <c r="BW98" s="341"/>
      <c r="BX98" s="341"/>
      <c r="BY98" s="341"/>
      <c r="BZ98" s="341"/>
      <c r="CA98" s="341"/>
      <c r="CB98" s="341"/>
      <c r="CC98" s="341"/>
      <c r="CD98" s="341"/>
      <c r="CE98" s="341"/>
      <c r="CF98" s="341"/>
      <c r="CG98" s="341"/>
      <c r="CH98" s="341"/>
      <c r="CI98" s="341"/>
      <c r="CJ98" s="341"/>
      <c r="CK98" s="341"/>
      <c r="CL98" s="341"/>
      <c r="CM98" s="341"/>
    </row>
    <row r="99" spans="1:91" ht="16.5" customHeight="1" thickBot="1">
      <c r="B99" s="281"/>
      <c r="C99" s="948" t="s">
        <v>61</v>
      </c>
      <c r="D99" s="170" t="s">
        <v>133</v>
      </c>
      <c r="E99" s="241"/>
      <c r="F99" s="294" t="s">
        <v>63</v>
      </c>
      <c r="G99" s="343"/>
      <c r="H99" s="343"/>
      <c r="I99" s="344"/>
      <c r="J99" s="239"/>
      <c r="K99" s="241"/>
      <c r="L99" s="241"/>
      <c r="M99" s="297"/>
      <c r="N99" s="388"/>
      <c r="O99" s="388"/>
      <c r="P99" s="242"/>
      <c r="Q99" s="241"/>
      <c r="R99" s="241"/>
      <c r="S99" s="242"/>
      <c r="T99" s="298"/>
      <c r="U99" s="298"/>
      <c r="V99" s="240"/>
      <c r="W99" s="389"/>
      <c r="X99" s="389"/>
      <c r="Y99" s="242"/>
      <c r="Z99" s="180"/>
      <c r="AA99" s="180"/>
      <c r="AB99" s="300"/>
      <c r="AC99" s="263"/>
      <c r="AD99" s="263"/>
      <c r="AE99" s="264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  <c r="BE99" s="341"/>
      <c r="BF99" s="341"/>
      <c r="BG99" s="341"/>
      <c r="BH99" s="341"/>
      <c r="BI99" s="341"/>
      <c r="BJ99" s="341"/>
      <c r="BK99" s="341"/>
      <c r="BL99" s="341"/>
      <c r="BM99" s="341"/>
      <c r="BN99" s="341"/>
      <c r="BO99" s="341"/>
      <c r="BP99" s="341"/>
      <c r="BQ99" s="341"/>
      <c r="BR99" s="341"/>
      <c r="BS99" s="341"/>
      <c r="BT99" s="341"/>
      <c r="BU99" s="341"/>
      <c r="BV99" s="341"/>
      <c r="BW99" s="341"/>
      <c r="BX99" s="341"/>
      <c r="BY99" s="341"/>
      <c r="BZ99" s="341"/>
      <c r="CA99" s="341"/>
      <c r="CB99" s="341"/>
      <c r="CC99" s="341"/>
      <c r="CD99" s="341"/>
      <c r="CE99" s="341"/>
      <c r="CF99" s="341"/>
      <c r="CG99" s="341"/>
      <c r="CH99" s="341"/>
      <c r="CI99" s="341"/>
      <c r="CJ99" s="341"/>
      <c r="CK99" s="341"/>
      <c r="CL99" s="341"/>
      <c r="CM99" s="341"/>
    </row>
    <row r="100" spans="1:91" ht="16.5" customHeight="1">
      <c r="B100" s="182">
        <v>1</v>
      </c>
      <c r="C100" s="949"/>
      <c r="D100" s="97" t="s">
        <v>79</v>
      </c>
      <c r="E100" s="260" t="s">
        <v>134</v>
      </c>
      <c r="F100" s="254"/>
      <c r="G100" s="345">
        <v>8</v>
      </c>
      <c r="H100" s="346">
        <v>6</v>
      </c>
      <c r="I100" s="347">
        <f>IFERROR(H100/G100,"")</f>
        <v>0.75</v>
      </c>
      <c r="J100" s="188" t="e">
        <f>SUMIF('[1]Total 2'!$I:$I,_xlfn.TEXTJOIN(" ",TRUE,'NEW ATD PER TEAM'!$D$99,'NEW ATD PER TEAM'!$D100),'[1]Total 2'!L:L)</f>
        <v>#VALUE!</v>
      </c>
      <c r="K100" s="189" t="e">
        <f>J100*68/40</f>
        <v>#VALUE!</v>
      </c>
      <c r="L100" s="190" t="e">
        <f>SUMIF('[1]Total 2'!$I:$I,_xlfn.TEXTJOIN(" ",TRUE,'NEW ATD PER TEAM'!$D$99,'NEW ATD PER TEAM'!$D100),'[1]Total 2'!O:O)</f>
        <v>#VALUE!</v>
      </c>
      <c r="M100" s="304">
        <f>IFERROR(L100/K100,0)</f>
        <v>0</v>
      </c>
      <c r="N100" s="183" t="e">
        <f>J100*68/24</f>
        <v>#VALUE!</v>
      </c>
      <c r="O100" s="390" t="e">
        <f>SUMIF('[1]Total 2'!$I:$I,_xlfn.TEXTJOIN(" ",TRUE,'NEW ATD PER TEAM'!$D$99,'NEW ATD PER TEAM'!$D100),'[1]Total 2'!R:R)</f>
        <v>#VALUE!</v>
      </c>
      <c r="P100" s="191">
        <f>IFERROR(O100/N100,0)</f>
        <v>0</v>
      </c>
      <c r="Q100" s="192" t="e">
        <f>J100*68/24</f>
        <v>#VALUE!</v>
      </c>
      <c r="R100" s="193" t="e">
        <f>SUMIF('[1]Total 2'!$I:$I,_xlfn.TEXTJOIN(" ",TRUE,'NEW ATD PER TEAM'!$D$99,'NEW ATD PER TEAM'!$D100),'[1]Total 2'!U:U)</f>
        <v>#VALUE!</v>
      </c>
      <c r="S100" s="191">
        <f>IFERROR(R100/Q100,0)</f>
        <v>0</v>
      </c>
      <c r="T100" s="306" t="e">
        <f>J100*68/12</f>
        <v>#VALUE!</v>
      </c>
      <c r="U100" s="307" t="e">
        <f>SUMIF('[1]Total 2'!$I:$I,_xlfn.TEXTJOIN(" ",TRUE,'NEW ATD PER TEAM'!$D$99,'NEW ATD PER TEAM'!$D100),'[1]Total 2'!X:X)</f>
        <v>#VALUE!</v>
      </c>
      <c r="V100" s="308">
        <f>IFERROR(U100/T100,0)</f>
        <v>0</v>
      </c>
      <c r="W100" s="391" t="e">
        <f>J100*68/12</f>
        <v>#VALUE!</v>
      </c>
      <c r="X100" s="392" t="e">
        <f>SUMIF('[1]Total 2'!$I:$I,_xlfn.TEXTJOIN(" ",TRUE,'NEW ATD PER TEAM'!$D$99,'NEW ATD PER TEAM'!$D100),'[1]Total 2'!AA:AA)</f>
        <v>#VALUE!</v>
      </c>
      <c r="Y100" s="191">
        <f>IFERROR(X100/W100,0)</f>
        <v>0</v>
      </c>
      <c r="Z100" s="197" t="e">
        <f>SUMIF('[1]Total 2'!$I:$I,_xlfn.TEXTJOIN(" ",TRUE,'NEW ATD PER TEAM'!$D$99,'NEW ATD PER TEAM'!$D100),'[1]Total 2'!AC:AC)</f>
        <v>#VALUE!</v>
      </c>
      <c r="AA100" s="253" t="e">
        <f>SUMIF('[1]Total 2'!$I:$I,_xlfn.TEXTJOIN(" ",TRUE,'NEW ATD PER TEAM'!$D$99,'NEW ATD PER TEAM'!$D100),'[1]Total 2'!AD:AD)</f>
        <v>#VALUE!</v>
      </c>
      <c r="AB100" s="311"/>
      <c r="AC100" s="350" t="e">
        <f>J100*1854*40</f>
        <v>#VALUE!</v>
      </c>
      <c r="AD100" s="351" t="e">
        <f>AA100</f>
        <v>#VALUE!</v>
      </c>
      <c r="AE100" s="352" t="str">
        <f>IFERROR(AD100/AC100,"")</f>
        <v/>
      </c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  <c r="BE100" s="341"/>
      <c r="BF100" s="341"/>
      <c r="BG100" s="341"/>
      <c r="BH100" s="341"/>
      <c r="BI100" s="341"/>
      <c r="BJ100" s="341"/>
      <c r="BK100" s="341"/>
      <c r="BL100" s="341"/>
      <c r="BM100" s="341"/>
      <c r="BN100" s="341"/>
      <c r="BO100" s="341"/>
      <c r="BP100" s="341"/>
      <c r="BQ100" s="341"/>
      <c r="BR100" s="341"/>
      <c r="BS100" s="341"/>
      <c r="BT100" s="341"/>
      <c r="BU100" s="341"/>
      <c r="BV100" s="341"/>
      <c r="BW100" s="341"/>
      <c r="BX100" s="341"/>
      <c r="BY100" s="341"/>
      <c r="BZ100" s="341"/>
      <c r="CA100" s="341"/>
      <c r="CB100" s="341"/>
      <c r="CC100" s="341"/>
      <c r="CD100" s="341"/>
      <c r="CE100" s="341"/>
      <c r="CF100" s="341"/>
      <c r="CG100" s="341"/>
      <c r="CH100" s="341"/>
      <c r="CI100" s="341"/>
      <c r="CJ100" s="341"/>
      <c r="CK100" s="341"/>
      <c r="CL100" s="341"/>
      <c r="CM100" s="341"/>
    </row>
    <row r="101" spans="1:91" ht="16.5" customHeight="1">
      <c r="B101" s="182">
        <v>2</v>
      </c>
      <c r="C101" s="949"/>
      <c r="D101" s="57" t="s">
        <v>81</v>
      </c>
      <c r="E101" s="313" t="s">
        <v>135</v>
      </c>
      <c r="F101" s="313"/>
      <c r="G101" s="353">
        <v>8</v>
      </c>
      <c r="H101" s="354">
        <v>6</v>
      </c>
      <c r="I101" s="355">
        <f t="shared" ref="I101:I104" si="197">IFERROR(H101/G101,"")</f>
        <v>0.75</v>
      </c>
      <c r="J101" s="21" t="e">
        <f>SUMIF('[1]Total 2'!$I:$I,_xlfn.TEXTJOIN(" ",TRUE,'NEW ATD PER TEAM'!$D$99,'NEW ATD PER TEAM'!$D101),'[1]Total 2'!L:L)</f>
        <v>#VALUE!</v>
      </c>
      <c r="K101" s="105" t="e">
        <f>J101*68/40</f>
        <v>#VALUE!</v>
      </c>
      <c r="L101" s="190" t="e">
        <f>SUMIF('[1]Total 2'!$I:$I,_xlfn.TEXTJOIN(" ",TRUE,'NEW ATD PER TEAM'!$D$99,'NEW ATD PER TEAM'!$D101),'[1]Total 2'!O:O)</f>
        <v>#VALUE!</v>
      </c>
      <c r="M101" s="315">
        <f t="shared" ref="M101:M104" si="198">IFERROR(L101/K101,0)</f>
        <v>0</v>
      </c>
      <c r="N101" s="18" t="e">
        <f>J101*68/24</f>
        <v>#VALUE!</v>
      </c>
      <c r="O101" s="103" t="e">
        <f>SUMIF('[1]Total 2'!$I:$I,_xlfn.TEXTJOIN(" ",TRUE,'NEW ATD PER TEAM'!$D$99,'NEW ATD PER TEAM'!$D101),'[1]Total 2'!R:R)</f>
        <v>#VALUE!</v>
      </c>
      <c r="P101" s="205">
        <f t="shared" ref="P101:P104" si="199">IFERROR(O101/N101,0)</f>
        <v>0</v>
      </c>
      <c r="Q101" s="18" t="e">
        <f>J101*68/24</f>
        <v>#VALUE!</v>
      </c>
      <c r="R101" s="103" t="e">
        <f>SUMIF('[1]Total 2'!$I:$I,_xlfn.TEXTJOIN(" ",TRUE,'NEW ATD PER TEAM'!$D$99,'NEW ATD PER TEAM'!$D101),'[1]Total 2'!U:U)</f>
        <v>#VALUE!</v>
      </c>
      <c r="S101" s="205">
        <f t="shared" ref="S101:S104" si="200">IFERROR(R101/Q101,0)</f>
        <v>0</v>
      </c>
      <c r="T101" s="317" t="e">
        <f>J101*68/12</f>
        <v>#VALUE!</v>
      </c>
      <c r="U101" s="318" t="e">
        <f>SUMIF('[1]Total 2'!$I:$I,_xlfn.TEXTJOIN(" ",TRUE,'NEW ATD PER TEAM'!$D$99,'NEW ATD PER TEAM'!$D101),'[1]Total 2'!X:X)</f>
        <v>#VALUE!</v>
      </c>
      <c r="V101" s="319">
        <f t="shared" ref="V101:V104" si="201">IFERROR(U101/T101,0)</f>
        <v>0</v>
      </c>
      <c r="W101" s="317" t="e">
        <f>J101*68/12</f>
        <v>#VALUE!</v>
      </c>
      <c r="X101" s="318" t="e">
        <f>SUMIF('[1]Total 2'!$I:$I,_xlfn.TEXTJOIN(" ",TRUE,'NEW ATD PER TEAM'!$D$99,'NEW ATD PER TEAM'!$D101),'[1]Total 2'!AA:AA)</f>
        <v>#VALUE!</v>
      </c>
      <c r="Y101" s="205">
        <f t="shared" ref="Y101:Y104" si="202">IFERROR(X101/W101,0)</f>
        <v>0</v>
      </c>
      <c r="Z101" s="206" t="e">
        <f>SUMIF('[1]Total 2'!$I:$I,_xlfn.TEXTJOIN(" ",TRUE,'NEW ATD PER TEAM'!$D$99,'NEW ATD PER TEAM'!$D101),'[1]Total 2'!AC:AC)</f>
        <v>#VALUE!</v>
      </c>
      <c r="AA101" s="207" t="e">
        <f>SUMIF('[1]Total 2'!$I:$I,_xlfn.TEXTJOIN(" ",TRUE,'NEW ATD PER TEAM'!$D$99,'NEW ATD PER TEAM'!$D101),'[1]Total 2'!AD:AD)</f>
        <v>#VALUE!</v>
      </c>
      <c r="AB101" s="322"/>
      <c r="AC101" s="356" t="e">
        <f>J101*1854*40</f>
        <v>#VALUE!</v>
      </c>
      <c r="AD101" s="357" t="e">
        <f t="shared" ref="AD101:AD103" si="203">AA101</f>
        <v>#VALUE!</v>
      </c>
      <c r="AE101" s="358" t="str">
        <f t="shared" ref="AE101:AE104" si="204">IFERROR(AD101/AC101,"")</f>
        <v/>
      </c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  <c r="BE101" s="341"/>
      <c r="BF101" s="341"/>
      <c r="BG101" s="341"/>
      <c r="BH101" s="341"/>
      <c r="BI101" s="341"/>
      <c r="BJ101" s="341"/>
      <c r="BK101" s="341"/>
      <c r="BL101" s="341"/>
      <c r="BM101" s="341"/>
      <c r="BN101" s="341"/>
      <c r="BO101" s="341"/>
      <c r="BP101" s="341"/>
      <c r="BQ101" s="341"/>
      <c r="BR101" s="341"/>
      <c r="BS101" s="341"/>
      <c r="BT101" s="341"/>
      <c r="BU101" s="341"/>
      <c r="BV101" s="341"/>
      <c r="BW101" s="341"/>
      <c r="BX101" s="341"/>
      <c r="BY101" s="341"/>
      <c r="BZ101" s="341"/>
      <c r="CA101" s="341"/>
      <c r="CB101" s="341"/>
      <c r="CC101" s="341"/>
      <c r="CD101" s="341"/>
      <c r="CE101" s="341"/>
      <c r="CF101" s="341"/>
      <c r="CG101" s="341"/>
      <c r="CH101" s="341"/>
      <c r="CI101" s="341"/>
      <c r="CJ101" s="341"/>
      <c r="CK101" s="341"/>
      <c r="CL101" s="341"/>
      <c r="CM101" s="341"/>
    </row>
    <row r="102" spans="1:91" ht="16.5" customHeight="1">
      <c r="B102" s="182">
        <v>3</v>
      </c>
      <c r="C102" s="949"/>
      <c r="D102" s="57" t="s">
        <v>83</v>
      </c>
      <c r="E102" s="313" t="s">
        <v>136</v>
      </c>
      <c r="F102" s="313"/>
      <c r="G102" s="353">
        <v>8</v>
      </c>
      <c r="H102" s="354">
        <v>2</v>
      </c>
      <c r="I102" s="355">
        <f t="shared" si="197"/>
        <v>0.25</v>
      </c>
      <c r="J102" s="21" t="e">
        <f>SUMIF('[1]Total 2'!$I:$I,_xlfn.TEXTJOIN(" ",TRUE,'NEW ATD PER TEAM'!$D$99,'NEW ATD PER TEAM'!$D102),'[1]Total 2'!L:L)</f>
        <v>#VALUE!</v>
      </c>
      <c r="K102" s="105" t="e">
        <f>J102*68/40</f>
        <v>#VALUE!</v>
      </c>
      <c r="L102" s="190" t="e">
        <f>SUMIF('[1]Total 2'!$I:$I,_xlfn.TEXTJOIN(" ",TRUE,'NEW ATD PER TEAM'!$D$99,'NEW ATD PER TEAM'!$D102),'[1]Total 2'!O:O)</f>
        <v>#VALUE!</v>
      </c>
      <c r="M102" s="315">
        <f t="shared" si="198"/>
        <v>0</v>
      </c>
      <c r="N102" s="18" t="e">
        <f>J102*68/24</f>
        <v>#VALUE!</v>
      </c>
      <c r="O102" s="103" t="e">
        <f>SUMIF('[1]Total 2'!$I:$I,_xlfn.TEXTJOIN(" ",TRUE,'NEW ATD PER TEAM'!$D$99,'NEW ATD PER TEAM'!$D102),'[1]Total 2'!R:R)</f>
        <v>#VALUE!</v>
      </c>
      <c r="P102" s="205">
        <f t="shared" si="199"/>
        <v>0</v>
      </c>
      <c r="Q102" s="18" t="e">
        <f>J102*68/24</f>
        <v>#VALUE!</v>
      </c>
      <c r="R102" s="103" t="e">
        <f>SUMIF('[1]Total 2'!$I:$I,_xlfn.TEXTJOIN(" ",TRUE,'NEW ATD PER TEAM'!$D$99,'NEW ATD PER TEAM'!$D102),'[1]Total 2'!U:U)</f>
        <v>#VALUE!</v>
      </c>
      <c r="S102" s="205">
        <f t="shared" si="200"/>
        <v>0</v>
      </c>
      <c r="T102" s="317" t="e">
        <f>J102*68/12</f>
        <v>#VALUE!</v>
      </c>
      <c r="U102" s="318" t="e">
        <f>SUMIF('[1]Total 2'!$I:$I,_xlfn.TEXTJOIN(" ",TRUE,'NEW ATD PER TEAM'!$D$99,'NEW ATD PER TEAM'!$D102),'[1]Total 2'!X:X)</f>
        <v>#VALUE!</v>
      </c>
      <c r="V102" s="319">
        <f t="shared" si="201"/>
        <v>0</v>
      </c>
      <c r="W102" s="317" t="e">
        <f>J102*68/12</f>
        <v>#VALUE!</v>
      </c>
      <c r="X102" s="318" t="e">
        <f>SUMIF('[1]Total 2'!$I:$I,_xlfn.TEXTJOIN(" ",TRUE,'NEW ATD PER TEAM'!$D$99,'NEW ATD PER TEAM'!$D102),'[1]Total 2'!AA:AA)</f>
        <v>#VALUE!</v>
      </c>
      <c r="Y102" s="205">
        <f t="shared" si="202"/>
        <v>0</v>
      </c>
      <c r="Z102" s="206" t="e">
        <f>SUMIF('[1]Total 2'!$I:$I,_xlfn.TEXTJOIN(" ",TRUE,'NEW ATD PER TEAM'!$D$99,'NEW ATD PER TEAM'!$D102),'[1]Total 2'!AC:AC)</f>
        <v>#VALUE!</v>
      </c>
      <c r="AA102" s="207" t="e">
        <f>SUMIF('[1]Total 2'!$I:$I,_xlfn.TEXTJOIN(" ",TRUE,'NEW ATD PER TEAM'!$D$99,'NEW ATD PER TEAM'!$D102),'[1]Total 2'!AD:AD)</f>
        <v>#VALUE!</v>
      </c>
      <c r="AB102" s="322"/>
      <c r="AC102" s="356" t="e">
        <f>J102*1854*40</f>
        <v>#VALUE!</v>
      </c>
      <c r="AD102" s="357" t="e">
        <f t="shared" si="203"/>
        <v>#VALUE!</v>
      </c>
      <c r="AE102" s="358" t="str">
        <f t="shared" si="204"/>
        <v/>
      </c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  <c r="BE102" s="341"/>
      <c r="BF102" s="341"/>
      <c r="BG102" s="341"/>
      <c r="BH102" s="341"/>
      <c r="BI102" s="341"/>
      <c r="BJ102" s="341"/>
      <c r="BK102" s="341"/>
      <c r="BL102" s="341"/>
      <c r="BM102" s="341"/>
      <c r="BN102" s="341"/>
      <c r="BO102" s="341"/>
      <c r="BP102" s="341"/>
      <c r="BQ102" s="341"/>
      <c r="BR102" s="341"/>
      <c r="BS102" s="341"/>
      <c r="BT102" s="341"/>
      <c r="BU102" s="341"/>
      <c r="BV102" s="341"/>
      <c r="BW102" s="341"/>
      <c r="BX102" s="341"/>
      <c r="BY102" s="341"/>
      <c r="BZ102" s="341"/>
      <c r="CA102" s="341"/>
      <c r="CB102" s="341"/>
      <c r="CC102" s="341"/>
      <c r="CD102" s="341"/>
      <c r="CE102" s="341"/>
      <c r="CF102" s="341"/>
      <c r="CG102" s="341"/>
      <c r="CH102" s="341"/>
      <c r="CI102" s="341"/>
      <c r="CJ102" s="341"/>
      <c r="CK102" s="341"/>
      <c r="CL102" s="341"/>
      <c r="CM102" s="341"/>
    </row>
    <row r="103" spans="1:91" ht="16.5" customHeight="1" thickBot="1">
      <c r="B103" s="182">
        <v>4</v>
      </c>
      <c r="C103" s="949"/>
      <c r="D103" s="209" t="s">
        <v>85</v>
      </c>
      <c r="E103" s="372"/>
      <c r="F103" s="373"/>
      <c r="G103" s="361">
        <v>8</v>
      </c>
      <c r="H103" s="362"/>
      <c r="I103" s="363">
        <f t="shared" si="197"/>
        <v>0</v>
      </c>
      <c r="J103" s="215" t="e">
        <f>SUMIF('[1]Total 2'!$I:$I,_xlfn.TEXTJOIN(" ",TRUE,'NEW ATD PER TEAM'!$D$99,'NEW ATD PER TEAM'!$D103),'[1]Total 2'!L:L)</f>
        <v>#VALUE!</v>
      </c>
      <c r="K103" s="112" t="e">
        <f>J103*68/40</f>
        <v>#VALUE!</v>
      </c>
      <c r="L103" s="190" t="e">
        <f>SUMIF('[1]Total 2'!$I:$I,_xlfn.TEXTJOIN(" ",TRUE,'NEW ATD PER TEAM'!$D$99,'NEW ATD PER TEAM'!$D103),'[1]Total 2'!O:O)</f>
        <v>#VALUE!</v>
      </c>
      <c r="M103" s="324">
        <f t="shared" si="198"/>
        <v>0</v>
      </c>
      <c r="N103" s="109" t="e">
        <f>J103*68/24</f>
        <v>#VALUE!</v>
      </c>
      <c r="O103" s="110" t="e">
        <f>SUMIF('[1]Total 2'!$I:$I,_xlfn.TEXTJOIN(" ",TRUE,'NEW ATD PER TEAM'!$D$99,'NEW ATD PER TEAM'!$D103),'[1]Total 2'!R:R)</f>
        <v>#VALUE!</v>
      </c>
      <c r="P103" s="216">
        <f t="shared" si="199"/>
        <v>0</v>
      </c>
      <c r="Q103" s="109" t="e">
        <f>J103*68/24</f>
        <v>#VALUE!</v>
      </c>
      <c r="R103" s="110" t="e">
        <f>SUMIF('[1]Total 2'!$I:$I,_xlfn.TEXTJOIN(" ",TRUE,'NEW ATD PER TEAM'!$D$99,'NEW ATD PER TEAM'!$D103),'[1]Total 2'!U:U)</f>
        <v>#VALUE!</v>
      </c>
      <c r="S103" s="216">
        <f t="shared" si="200"/>
        <v>0</v>
      </c>
      <c r="T103" s="326" t="e">
        <f>J103*68/12</f>
        <v>#VALUE!</v>
      </c>
      <c r="U103" s="327" t="e">
        <f>SUMIF('[1]Total 2'!$I:$I,_xlfn.TEXTJOIN(" ",TRUE,'NEW ATD PER TEAM'!$D$99,'NEW ATD PER TEAM'!$D103),'[1]Total 2'!X:X)</f>
        <v>#VALUE!</v>
      </c>
      <c r="V103" s="328">
        <f t="shared" si="201"/>
        <v>0</v>
      </c>
      <c r="W103" s="326" t="e">
        <f>J103*68/12</f>
        <v>#VALUE!</v>
      </c>
      <c r="X103" s="327" t="e">
        <f>SUMIF('[1]Total 2'!$I:$I,_xlfn.TEXTJOIN(" ",TRUE,'NEW ATD PER TEAM'!$D$99,'NEW ATD PER TEAM'!$D103),'[1]Total 2'!AA:AA)</f>
        <v>#VALUE!</v>
      </c>
      <c r="Y103" s="216">
        <f t="shared" si="202"/>
        <v>0</v>
      </c>
      <c r="Z103" s="217" t="e">
        <f>SUMIF('[1]Total 2'!$I:$I,_xlfn.TEXTJOIN(" ",TRUE,'NEW ATD PER TEAM'!$D$99,'NEW ATD PER TEAM'!$D103),'[1]Total 2'!AC:AC)</f>
        <v>#VALUE!</v>
      </c>
      <c r="AA103" s="218" t="e">
        <f>SUMIF('[1]Total 2'!$I:$I,_xlfn.TEXTJOIN(" ",TRUE,'NEW ATD PER TEAM'!$D$99,'NEW ATD PER TEAM'!$D103),'[1]Total 2'!AD:AD)</f>
        <v>#VALUE!</v>
      </c>
      <c r="AB103" s="331"/>
      <c r="AC103" s="366" t="e">
        <f>J103*1854*40</f>
        <v>#VALUE!</v>
      </c>
      <c r="AD103" s="367" t="e">
        <f t="shared" si="203"/>
        <v>#VALUE!</v>
      </c>
      <c r="AE103" s="368" t="str">
        <f t="shared" si="204"/>
        <v/>
      </c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  <c r="BE103" s="341"/>
      <c r="BF103" s="341"/>
      <c r="BG103" s="341"/>
      <c r="BH103" s="341"/>
      <c r="BI103" s="341"/>
      <c r="BJ103" s="341"/>
      <c r="BK103" s="341"/>
      <c r="BL103" s="341"/>
      <c r="BM103" s="341"/>
      <c r="BN103" s="341"/>
      <c r="BO103" s="341"/>
      <c r="BP103" s="341"/>
      <c r="BQ103" s="341"/>
      <c r="BR103" s="341"/>
      <c r="BS103" s="341"/>
      <c r="BT103" s="341"/>
      <c r="BU103" s="341"/>
      <c r="BV103" s="341"/>
      <c r="BW103" s="341"/>
      <c r="BX103" s="341"/>
      <c r="BY103" s="341"/>
      <c r="BZ103" s="341"/>
      <c r="CA103" s="341"/>
      <c r="CB103" s="341"/>
      <c r="CC103" s="341"/>
      <c r="CD103" s="341"/>
      <c r="CE103" s="341"/>
      <c r="CF103" s="341"/>
      <c r="CG103" s="341"/>
      <c r="CH103" s="341"/>
      <c r="CI103" s="341"/>
      <c r="CJ103" s="341"/>
      <c r="CK103" s="341"/>
      <c r="CL103" s="341"/>
      <c r="CM103" s="341"/>
    </row>
    <row r="104" spans="1:91" s="342" customFormat="1" ht="16.2" thickBot="1">
      <c r="A104"/>
      <c r="B104" s="153"/>
      <c r="C104" s="949"/>
      <c r="D104" s="333"/>
      <c r="E104" s="222" t="s">
        <v>70</v>
      </c>
      <c r="F104" s="334"/>
      <c r="G104" s="224">
        <f>SUM(G100:G103)</f>
        <v>32</v>
      </c>
      <c r="H104" s="224">
        <f>SUM(H100:H103)</f>
        <v>14</v>
      </c>
      <c r="I104" s="225">
        <f t="shared" si="197"/>
        <v>0.4375</v>
      </c>
      <c r="J104" s="226" t="e">
        <f>SUM(J100:J103)</f>
        <v>#VALUE!</v>
      </c>
      <c r="K104" s="335" t="e">
        <f t="shared" ref="K104:L104" si="205">SUM(K100:K103)</f>
        <v>#VALUE!</v>
      </c>
      <c r="L104" s="336" t="e">
        <f t="shared" si="205"/>
        <v>#VALUE!</v>
      </c>
      <c r="M104" s="337">
        <f t="shared" si="198"/>
        <v>0</v>
      </c>
      <c r="N104" s="289" t="e">
        <f t="shared" ref="N104:O104" si="206">SUM(N100:N103)</f>
        <v>#VALUE!</v>
      </c>
      <c r="O104" s="290" t="e">
        <f t="shared" si="206"/>
        <v>#VALUE!</v>
      </c>
      <c r="P104" s="291">
        <f t="shared" si="199"/>
        <v>0</v>
      </c>
      <c r="Q104" s="336" t="e">
        <f t="shared" ref="Q104:R104" si="207">SUM(Q100:Q103)</f>
        <v>#VALUE!</v>
      </c>
      <c r="R104" s="336" t="e">
        <f t="shared" si="207"/>
        <v>#VALUE!</v>
      </c>
      <c r="S104" s="393">
        <f t="shared" si="200"/>
        <v>0</v>
      </c>
      <c r="T104" s="289" t="e">
        <f t="shared" ref="T104:U104" si="208">SUM(T100:T103)</f>
        <v>#VALUE!</v>
      </c>
      <c r="U104" s="290" t="e">
        <f t="shared" si="208"/>
        <v>#VALUE!</v>
      </c>
      <c r="V104" s="291">
        <f t="shared" si="201"/>
        <v>0</v>
      </c>
      <c r="W104" s="289" t="e">
        <f t="shared" ref="W104:X104" si="209">SUM(W100:W103)</f>
        <v>#VALUE!</v>
      </c>
      <c r="X104" s="290" t="e">
        <f t="shared" si="209"/>
        <v>#VALUE!</v>
      </c>
      <c r="Y104" s="291">
        <f t="shared" si="202"/>
        <v>0</v>
      </c>
      <c r="Z104" s="234" t="e">
        <f>SUM(Z100:Z103)</f>
        <v>#VALUE!</v>
      </c>
      <c r="AA104" s="234" t="e">
        <f>SUM(AA100:AA103)</f>
        <v>#VALUE!</v>
      </c>
      <c r="AB104" s="340"/>
      <c r="AC104" s="234" t="e">
        <f>SUM(AC100:AC103)</f>
        <v>#VALUE!</v>
      </c>
      <c r="AD104" s="235" t="e">
        <f>SUM(AD100:AD103)</f>
        <v>#VALUE!</v>
      </c>
      <c r="AE104" s="236" t="str">
        <f t="shared" si="204"/>
        <v/>
      </c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  <c r="BE104" s="341"/>
      <c r="BF104" s="341"/>
      <c r="BG104" s="341"/>
      <c r="BH104" s="341"/>
      <c r="BI104" s="341"/>
      <c r="BJ104" s="341"/>
      <c r="BK104" s="341"/>
      <c r="BL104" s="341"/>
      <c r="BM104" s="341"/>
      <c r="BN104" s="341"/>
      <c r="BO104" s="341"/>
      <c r="BP104" s="341"/>
      <c r="BQ104" s="341"/>
      <c r="BR104" s="341"/>
      <c r="BS104" s="341"/>
      <c r="BT104" s="341"/>
      <c r="BU104" s="341"/>
      <c r="BV104" s="341"/>
      <c r="BW104" s="341"/>
      <c r="BX104" s="341"/>
      <c r="BY104" s="341"/>
      <c r="BZ104" s="341"/>
      <c r="CA104" s="341"/>
      <c r="CB104" s="341"/>
      <c r="CC104" s="341"/>
      <c r="CD104" s="341"/>
      <c r="CE104" s="341"/>
      <c r="CF104" s="341"/>
      <c r="CG104" s="341"/>
      <c r="CH104" s="341"/>
      <c r="CI104" s="341"/>
      <c r="CJ104" s="341"/>
      <c r="CK104" s="341"/>
      <c r="CL104" s="341"/>
      <c r="CM104" s="341"/>
    </row>
    <row r="105" spans="1:91" ht="16.5" customHeight="1" thickBot="1">
      <c r="B105" s="182"/>
      <c r="C105" s="948"/>
      <c r="D105" s="170" t="s">
        <v>137</v>
      </c>
      <c r="E105" s="241"/>
      <c r="F105" s="294" t="s">
        <v>65</v>
      </c>
      <c r="G105" s="343"/>
      <c r="H105" s="343"/>
      <c r="I105" s="344"/>
      <c r="J105" s="239"/>
      <c r="K105" s="239"/>
      <c r="L105" s="239"/>
      <c r="M105" s="297"/>
      <c r="N105" s="239"/>
      <c r="O105" s="239"/>
      <c r="P105" s="242"/>
      <c r="Q105" s="241"/>
      <c r="R105" s="241"/>
      <c r="S105" s="242"/>
      <c r="T105" s="298"/>
      <c r="U105" s="298"/>
      <c r="V105" s="240"/>
      <c r="W105" s="245"/>
      <c r="X105" s="245"/>
      <c r="Y105" s="242"/>
      <c r="Z105" s="180"/>
      <c r="AA105" s="180"/>
      <c r="AB105" s="300"/>
      <c r="AC105" s="263"/>
      <c r="AD105" s="263"/>
      <c r="AE105" s="264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  <c r="BE105" s="341"/>
      <c r="BF105" s="341"/>
      <c r="BG105" s="341"/>
      <c r="BH105" s="341"/>
      <c r="BI105" s="341"/>
      <c r="BJ105" s="341"/>
      <c r="BK105" s="341"/>
      <c r="BL105" s="341"/>
      <c r="BM105" s="341"/>
      <c r="BN105" s="341"/>
      <c r="BO105" s="341"/>
      <c r="BP105" s="341"/>
      <c r="BQ105" s="341"/>
      <c r="BR105" s="341"/>
      <c r="BS105" s="341"/>
      <c r="BT105" s="341"/>
      <c r="BU105" s="341"/>
      <c r="BV105" s="341"/>
      <c r="BW105" s="341"/>
      <c r="BX105" s="341"/>
      <c r="BY105" s="341"/>
      <c r="BZ105" s="341"/>
      <c r="CA105" s="341"/>
      <c r="CB105" s="341"/>
      <c r="CC105" s="341"/>
      <c r="CD105" s="341"/>
      <c r="CE105" s="341"/>
      <c r="CF105" s="341"/>
      <c r="CG105" s="341"/>
      <c r="CH105" s="341"/>
      <c r="CI105" s="341"/>
      <c r="CJ105" s="341"/>
      <c r="CK105" s="341"/>
      <c r="CL105" s="341"/>
      <c r="CM105" s="341"/>
    </row>
    <row r="106" spans="1:91" ht="16.5" customHeight="1">
      <c r="B106" s="182">
        <v>1</v>
      </c>
      <c r="C106" s="949"/>
      <c r="D106" s="97" t="s">
        <v>79</v>
      </c>
      <c r="E106" s="260" t="s">
        <v>138</v>
      </c>
      <c r="F106" s="301"/>
      <c r="G106" s="345">
        <v>8</v>
      </c>
      <c r="H106" s="346">
        <v>7</v>
      </c>
      <c r="I106" s="347">
        <f>IFERROR(H106/G106,"")</f>
        <v>0.875</v>
      </c>
      <c r="J106" s="188" t="e">
        <f>SUMIF('[1]Total 2'!$I:$I,_xlfn.TEXTJOIN(" ",TRUE,'NEW ATD PER TEAM'!$D$105,'NEW ATD PER TEAM'!$D106),'[1]Total 2'!L:L)</f>
        <v>#VALUE!</v>
      </c>
      <c r="K106" s="302" t="e">
        <f>J106*68/40</f>
        <v>#VALUE!</v>
      </c>
      <c r="L106" s="303" t="e">
        <f>SUMIF('[1]Total 2'!$I:$I,_xlfn.TEXTJOIN(" ",TRUE,'NEW ATD PER TEAM'!$D$105,'NEW ATD PER TEAM'!$D106),'[1]Total 2'!O:O)</f>
        <v>#VALUE!</v>
      </c>
      <c r="M106" s="304">
        <f>IFERROR(L106/K106,0)</f>
        <v>0</v>
      </c>
      <c r="N106" s="305" t="e">
        <f>J106*68/24</f>
        <v>#VALUE!</v>
      </c>
      <c r="O106" s="184" t="e">
        <f>SUMIF('[1]Total 2'!$I:$I,_xlfn.TEXTJOIN(" ",TRUE,'NEW ATD PER TEAM'!$D$105,'NEW ATD PER TEAM'!$D106),'[1]Total 2'!R:R)</f>
        <v>#VALUE!</v>
      </c>
      <c r="P106" s="191">
        <f>IFERROR(O106/N106,0)</f>
        <v>0</v>
      </c>
      <c r="Q106" s="192" t="e">
        <f>J106*68/24</f>
        <v>#VALUE!</v>
      </c>
      <c r="R106" s="193" t="e">
        <f>SUMIF('[1]Total 2'!$I:$I,_xlfn.TEXTJOIN(" ",TRUE,'NEW ATD PER TEAM'!$D$105,'NEW ATD PER TEAM'!$D106),'[1]Total 2'!U:U)</f>
        <v>#VALUE!</v>
      </c>
      <c r="S106" s="191">
        <f>IFERROR(R106/Q106,0)</f>
        <v>0</v>
      </c>
      <c r="T106" s="306" t="e">
        <f>J106*68/12</f>
        <v>#VALUE!</v>
      </c>
      <c r="U106" s="307" t="e">
        <f>SUMIF('[1]Total 2'!$I:$I,_xlfn.TEXTJOIN(" ",TRUE,'NEW ATD PER TEAM'!$D$105,'NEW ATD PER TEAM'!$D106),'[1]Total 2'!X:X)</f>
        <v>#VALUE!</v>
      </c>
      <c r="V106" s="308">
        <f>IFERROR(U106/T106,0)</f>
        <v>0</v>
      </c>
      <c r="W106" s="348" t="e">
        <f>J106*68/12</f>
        <v>#VALUE!</v>
      </c>
      <c r="X106" s="349" t="e">
        <f>SUMIF('[1]Total 2'!$I:$I,_xlfn.TEXTJOIN(" ",TRUE,'NEW ATD PER TEAM'!$D$105,'NEW ATD PER TEAM'!$D106),'[1]Total 2'!AA:AA)</f>
        <v>#VALUE!</v>
      </c>
      <c r="Y106" s="191">
        <f>IFERROR(X106/W106,0)</f>
        <v>0</v>
      </c>
      <c r="Z106" s="197" t="e">
        <f>SUMIF('[1]Total 2'!$I:$I,_xlfn.TEXTJOIN(" ",TRUE,'NEW ATD PER TEAM'!$D$105,'NEW ATD PER TEAM'!$D106),'[1]Total 2'!AC:AC)</f>
        <v>#VALUE!</v>
      </c>
      <c r="AA106" s="253" t="e">
        <f>SUMIF('[1]Total 2'!$I:$I,_xlfn.TEXTJOIN(" ",TRUE,'NEW ATD PER TEAM'!$D$105,'NEW ATD PER TEAM'!$D106),'[1]Total 2'!AD:AD)</f>
        <v>#VALUE!</v>
      </c>
      <c r="AB106" s="394"/>
      <c r="AC106" s="350" t="e">
        <f>J106*1854*40</f>
        <v>#VALUE!</v>
      </c>
      <c r="AD106" s="351" t="e">
        <f>AA106</f>
        <v>#VALUE!</v>
      </c>
      <c r="AE106" s="352" t="str">
        <f>IFERROR(AD106/AC106,"")</f>
        <v/>
      </c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  <c r="BE106" s="341"/>
      <c r="BF106" s="341"/>
      <c r="BG106" s="341"/>
      <c r="BH106" s="341"/>
      <c r="BI106" s="341"/>
      <c r="BJ106" s="341"/>
      <c r="BK106" s="341"/>
      <c r="BL106" s="341"/>
      <c r="BM106" s="341"/>
      <c r="BN106" s="341"/>
      <c r="BO106" s="341"/>
      <c r="BP106" s="341"/>
      <c r="BQ106" s="341"/>
      <c r="BR106" s="341"/>
      <c r="BS106" s="341"/>
      <c r="BT106" s="341"/>
      <c r="BU106" s="341"/>
      <c r="BV106" s="341"/>
      <c r="BW106" s="341"/>
      <c r="BX106" s="341"/>
      <c r="BY106" s="341"/>
      <c r="BZ106" s="341"/>
      <c r="CA106" s="341"/>
      <c r="CB106" s="341"/>
      <c r="CC106" s="341"/>
      <c r="CD106" s="341"/>
      <c r="CE106" s="341"/>
      <c r="CF106" s="341"/>
      <c r="CG106" s="341"/>
      <c r="CH106" s="341"/>
      <c r="CI106" s="341"/>
      <c r="CJ106" s="341"/>
      <c r="CK106" s="341"/>
      <c r="CL106" s="341"/>
      <c r="CM106" s="341"/>
    </row>
    <row r="107" spans="1:91" ht="16.5" customHeight="1">
      <c r="B107" s="182">
        <v>2</v>
      </c>
      <c r="C107" s="949"/>
      <c r="D107" s="57" t="s">
        <v>81</v>
      </c>
      <c r="E107" s="313" t="s">
        <v>139</v>
      </c>
      <c r="F107" s="314"/>
      <c r="G107" s="353">
        <v>8</v>
      </c>
      <c r="H107" s="354">
        <v>7</v>
      </c>
      <c r="I107" s="355">
        <f t="shared" ref="I107:I110" si="210">IFERROR(H107/G107,"")</f>
        <v>0.875</v>
      </c>
      <c r="J107" s="21" t="e">
        <f>SUMIF('[1]Total 2'!$I:$I,_xlfn.TEXTJOIN(" ",TRUE,'NEW ATD PER TEAM'!$D$105,'NEW ATD PER TEAM'!$D107),'[1]Total 2'!L:L)</f>
        <v>#VALUE!</v>
      </c>
      <c r="K107" s="203" t="e">
        <f>J107*68/40</f>
        <v>#VALUE!</v>
      </c>
      <c r="L107" s="303" t="e">
        <f>SUMIF('[1]Total 2'!$I:$I,_xlfn.TEXTJOIN(" ",TRUE,'NEW ATD PER TEAM'!$D$105,'NEW ATD PER TEAM'!$D107),'[1]Total 2'!O:O)</f>
        <v>#VALUE!</v>
      </c>
      <c r="M107" s="315">
        <f t="shared" ref="M107:M110" si="211">IFERROR(L107/K107,0)</f>
        <v>0</v>
      </c>
      <c r="N107" s="21" t="e">
        <f>J107*68/24</f>
        <v>#VALUE!</v>
      </c>
      <c r="O107" s="316" t="e">
        <f>SUMIF('[1]Total 2'!$I:$I,_xlfn.TEXTJOIN(" ",TRUE,'NEW ATD PER TEAM'!$D$105,'NEW ATD PER TEAM'!$D107),'[1]Total 2'!R:R)</f>
        <v>#VALUE!</v>
      </c>
      <c r="P107" s="205">
        <f t="shared" ref="P107:P110" si="212">IFERROR(O107/N107,0)</f>
        <v>0</v>
      </c>
      <c r="Q107" s="18" t="e">
        <f>J107*68/24</f>
        <v>#VALUE!</v>
      </c>
      <c r="R107" s="103" t="e">
        <f>SUMIF('[1]Total 2'!$I:$I,_xlfn.TEXTJOIN(" ",TRUE,'NEW ATD PER TEAM'!$D$105,'NEW ATD PER TEAM'!$D107),'[1]Total 2'!U:U)</f>
        <v>#VALUE!</v>
      </c>
      <c r="S107" s="205">
        <f t="shared" ref="S107:S110" si="213">IFERROR(R107/Q107,0)</f>
        <v>0</v>
      </c>
      <c r="T107" s="317" t="e">
        <f>J107*68/12</f>
        <v>#VALUE!</v>
      </c>
      <c r="U107" s="318" t="e">
        <f>SUMIF('[1]Total 2'!$I:$I,_xlfn.TEXTJOIN(" ",TRUE,'NEW ATD PER TEAM'!$D$105,'NEW ATD PER TEAM'!$D107),'[1]Total 2'!X:X)</f>
        <v>#VALUE!</v>
      </c>
      <c r="V107" s="319">
        <f t="shared" ref="V107:V110" si="214">IFERROR(U107/T107,0)</f>
        <v>0</v>
      </c>
      <c r="W107" s="359" t="e">
        <f>J107*68/12</f>
        <v>#VALUE!</v>
      </c>
      <c r="X107" s="360" t="e">
        <f>SUMIF('[1]Total 2'!$I:$I,_xlfn.TEXTJOIN(" ",TRUE,'NEW ATD PER TEAM'!$D$105,'NEW ATD PER TEAM'!$D107),'[1]Total 2'!AA:AA)</f>
        <v>#VALUE!</v>
      </c>
      <c r="Y107" s="205">
        <f t="shared" ref="Y107:Y110" si="215">IFERROR(X107/W107,0)</f>
        <v>0</v>
      </c>
      <c r="Z107" s="206" t="e">
        <f>SUMIF('[1]Total 2'!$I:$I,_xlfn.TEXTJOIN(" ",TRUE,'NEW ATD PER TEAM'!$D$105,'NEW ATD PER TEAM'!$D107),'[1]Total 2'!AC:AC)</f>
        <v>#VALUE!</v>
      </c>
      <c r="AA107" s="207" t="e">
        <f>SUMIF('[1]Total 2'!$I:$I,_xlfn.TEXTJOIN(" ",TRUE,'NEW ATD PER TEAM'!$D$105,'NEW ATD PER TEAM'!$D107),'[1]Total 2'!AD:AD)</f>
        <v>#VALUE!</v>
      </c>
      <c r="AB107" s="395"/>
      <c r="AC107" s="356" t="e">
        <f>J107*1854*40</f>
        <v>#VALUE!</v>
      </c>
      <c r="AD107" s="357" t="e">
        <f t="shared" ref="AD107:AD109" si="216">AA107</f>
        <v>#VALUE!</v>
      </c>
      <c r="AE107" s="358" t="str">
        <f t="shared" ref="AE107:AE110" si="217">IFERROR(AD107/AC107,"")</f>
        <v/>
      </c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  <c r="BE107" s="341"/>
      <c r="BF107" s="341"/>
      <c r="BG107" s="341"/>
      <c r="BH107" s="341"/>
      <c r="BI107" s="341"/>
      <c r="BJ107" s="341"/>
      <c r="BK107" s="341"/>
      <c r="BL107" s="341"/>
      <c r="BM107" s="341"/>
      <c r="BN107" s="341"/>
      <c r="BO107" s="341"/>
      <c r="BP107" s="341"/>
      <c r="BQ107" s="341"/>
      <c r="BR107" s="341"/>
      <c r="BS107" s="341"/>
      <c r="BT107" s="341"/>
      <c r="BU107" s="341"/>
      <c r="BV107" s="341"/>
      <c r="BW107" s="341"/>
      <c r="BX107" s="341"/>
      <c r="BY107" s="341"/>
      <c r="BZ107" s="341"/>
      <c r="CA107" s="341"/>
      <c r="CB107" s="341"/>
      <c r="CC107" s="341"/>
      <c r="CD107" s="341"/>
      <c r="CE107" s="341"/>
      <c r="CF107" s="341"/>
      <c r="CG107" s="341"/>
      <c r="CH107" s="341"/>
      <c r="CI107" s="341"/>
      <c r="CJ107" s="341"/>
      <c r="CK107" s="341"/>
      <c r="CL107" s="341"/>
      <c r="CM107" s="341"/>
    </row>
    <row r="108" spans="1:91" ht="16.5" customHeight="1">
      <c r="B108" s="182">
        <v>3</v>
      </c>
      <c r="C108" s="949"/>
      <c r="D108" s="57" t="s">
        <v>83</v>
      </c>
      <c r="E108" s="370"/>
      <c r="F108" s="371"/>
      <c r="G108" s="353">
        <v>8</v>
      </c>
      <c r="H108" s="354"/>
      <c r="I108" s="355">
        <f t="shared" si="210"/>
        <v>0</v>
      </c>
      <c r="J108" s="21" t="e">
        <f>SUMIF('[1]Total 2'!$I:$I,_xlfn.TEXTJOIN(" ",TRUE,'NEW ATD PER TEAM'!$D$105,'NEW ATD PER TEAM'!$D108),'[1]Total 2'!L:L)</f>
        <v>#VALUE!</v>
      </c>
      <c r="K108" s="203" t="e">
        <f>J108*68/40</f>
        <v>#VALUE!</v>
      </c>
      <c r="L108" s="303" t="e">
        <f>SUMIF('[1]Total 2'!$I:$I,_xlfn.TEXTJOIN(" ",TRUE,'NEW ATD PER TEAM'!$D$105,'NEW ATD PER TEAM'!$D108),'[1]Total 2'!O:O)</f>
        <v>#VALUE!</v>
      </c>
      <c r="M108" s="315">
        <f t="shared" si="211"/>
        <v>0</v>
      </c>
      <c r="N108" s="21" t="e">
        <f>J108*68/24</f>
        <v>#VALUE!</v>
      </c>
      <c r="O108" s="316" t="e">
        <f>SUMIF('[1]Total 2'!$I:$I,_xlfn.TEXTJOIN(" ",TRUE,'NEW ATD PER TEAM'!$D$105,'NEW ATD PER TEAM'!$D108),'[1]Total 2'!R:R)</f>
        <v>#VALUE!</v>
      </c>
      <c r="P108" s="205">
        <f t="shared" si="212"/>
        <v>0</v>
      </c>
      <c r="Q108" s="18" t="e">
        <f>J108*68/24</f>
        <v>#VALUE!</v>
      </c>
      <c r="R108" s="103" t="e">
        <f>SUMIF('[1]Total 2'!$I:$I,_xlfn.TEXTJOIN(" ",TRUE,'NEW ATD PER TEAM'!$D$105,'NEW ATD PER TEAM'!$D108),'[1]Total 2'!U:U)</f>
        <v>#VALUE!</v>
      </c>
      <c r="S108" s="205">
        <f t="shared" si="213"/>
        <v>0</v>
      </c>
      <c r="T108" s="317" t="e">
        <f>J108*68/12</f>
        <v>#VALUE!</v>
      </c>
      <c r="U108" s="318" t="e">
        <f>SUMIF('[1]Total 2'!$I:$I,_xlfn.TEXTJOIN(" ",TRUE,'NEW ATD PER TEAM'!$D$105,'NEW ATD PER TEAM'!$D108),'[1]Total 2'!X:X)</f>
        <v>#VALUE!</v>
      </c>
      <c r="V108" s="319">
        <f t="shared" si="214"/>
        <v>0</v>
      </c>
      <c r="W108" s="359" t="e">
        <f>J108*68/12</f>
        <v>#VALUE!</v>
      </c>
      <c r="X108" s="360" t="e">
        <f>SUMIF('[1]Total 2'!$I:$I,_xlfn.TEXTJOIN(" ",TRUE,'NEW ATD PER TEAM'!$D$105,'NEW ATD PER TEAM'!$D108),'[1]Total 2'!AA:AA)</f>
        <v>#VALUE!</v>
      </c>
      <c r="Y108" s="205">
        <f t="shared" si="215"/>
        <v>0</v>
      </c>
      <c r="Z108" s="206" t="e">
        <f>SUMIF('[1]Total 2'!$I:$I,_xlfn.TEXTJOIN(" ",TRUE,'NEW ATD PER TEAM'!$D$105,'NEW ATD PER TEAM'!$D108),'[1]Total 2'!AC:AC)</f>
        <v>#VALUE!</v>
      </c>
      <c r="AA108" s="207" t="e">
        <f>SUMIF('[1]Total 2'!$I:$I,_xlfn.TEXTJOIN(" ",TRUE,'NEW ATD PER TEAM'!$D$105,'NEW ATD PER TEAM'!$D108),'[1]Total 2'!AD:AD)</f>
        <v>#VALUE!</v>
      </c>
      <c r="AB108" s="395"/>
      <c r="AC108" s="356" t="e">
        <f>J108*1854*40</f>
        <v>#VALUE!</v>
      </c>
      <c r="AD108" s="357" t="e">
        <f t="shared" si="216"/>
        <v>#VALUE!</v>
      </c>
      <c r="AE108" s="358" t="str">
        <f t="shared" si="217"/>
        <v/>
      </c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  <c r="BE108" s="341"/>
      <c r="BF108" s="341"/>
      <c r="BG108" s="341"/>
      <c r="BH108" s="341"/>
      <c r="BI108" s="341"/>
      <c r="BJ108" s="341"/>
      <c r="BK108" s="341"/>
      <c r="BL108" s="341"/>
      <c r="BM108" s="341"/>
      <c r="BN108" s="341"/>
      <c r="BO108" s="341"/>
      <c r="BP108" s="341"/>
      <c r="BQ108" s="341"/>
      <c r="BR108" s="341"/>
      <c r="BS108" s="341"/>
      <c r="BT108" s="341"/>
      <c r="BU108" s="341"/>
      <c r="BV108" s="341"/>
      <c r="BW108" s="341"/>
      <c r="BX108" s="341"/>
      <c r="BY108" s="341"/>
      <c r="BZ108" s="341"/>
      <c r="CA108" s="341"/>
      <c r="CB108" s="341"/>
      <c r="CC108" s="341"/>
      <c r="CD108" s="341"/>
      <c r="CE108" s="341"/>
      <c r="CF108" s="341"/>
      <c r="CG108" s="341"/>
      <c r="CH108" s="341"/>
      <c r="CI108" s="341"/>
      <c r="CJ108" s="341"/>
      <c r="CK108" s="341"/>
      <c r="CL108" s="341"/>
      <c r="CM108" s="341"/>
    </row>
    <row r="109" spans="1:91" ht="16.5" customHeight="1" thickBot="1">
      <c r="B109" s="182">
        <v>4</v>
      </c>
      <c r="C109" s="949"/>
      <c r="D109" s="209" t="s">
        <v>85</v>
      </c>
      <c r="E109" s="372"/>
      <c r="F109" s="373"/>
      <c r="G109" s="361">
        <v>8</v>
      </c>
      <c r="H109" s="362"/>
      <c r="I109" s="363">
        <f t="shared" si="210"/>
        <v>0</v>
      </c>
      <c r="J109" s="215" t="e">
        <f>SUMIF('[1]Total 2'!$I:$I,_xlfn.TEXTJOIN(" ",TRUE,'NEW ATD PER TEAM'!$D$105,'NEW ATD PER TEAM'!$D109),'[1]Total 2'!L:L)</f>
        <v>#VALUE!</v>
      </c>
      <c r="K109" s="213" t="e">
        <f>J109*68/40</f>
        <v>#VALUE!</v>
      </c>
      <c r="L109" s="303" t="e">
        <f>SUMIF('[1]Total 2'!$I:$I,_xlfn.TEXTJOIN(" ",TRUE,'NEW ATD PER TEAM'!$D$105,'NEW ATD PER TEAM'!$D109),'[1]Total 2'!O:O)</f>
        <v>#VALUE!</v>
      </c>
      <c r="M109" s="324">
        <f t="shared" si="211"/>
        <v>0</v>
      </c>
      <c r="N109" s="215" t="e">
        <f>J109*68/24</f>
        <v>#VALUE!</v>
      </c>
      <c r="O109" s="325" t="e">
        <f>SUMIF('[1]Total 2'!$I:$I,_xlfn.TEXTJOIN(" ",TRUE,'NEW ATD PER TEAM'!$D$105,'NEW ATD PER TEAM'!$D109),'[1]Total 2'!R:R)</f>
        <v>#VALUE!</v>
      </c>
      <c r="P109" s="216">
        <f t="shared" si="212"/>
        <v>0</v>
      </c>
      <c r="Q109" s="109" t="e">
        <f>J109*68/24</f>
        <v>#VALUE!</v>
      </c>
      <c r="R109" s="110" t="e">
        <f>SUMIF('[1]Total 2'!$I:$I,_xlfn.TEXTJOIN(" ",TRUE,'NEW ATD PER TEAM'!$D$105,'NEW ATD PER TEAM'!$D109),'[1]Total 2'!U:U)</f>
        <v>#VALUE!</v>
      </c>
      <c r="S109" s="216">
        <f t="shared" si="213"/>
        <v>0</v>
      </c>
      <c r="T109" s="326" t="e">
        <f>J109*68/12</f>
        <v>#VALUE!</v>
      </c>
      <c r="U109" s="327" t="e">
        <f>SUMIF('[1]Total 2'!$I:$I,_xlfn.TEXTJOIN(" ",TRUE,'NEW ATD PER TEAM'!$D$105,'NEW ATD PER TEAM'!$D109),'[1]Total 2'!X:X)</f>
        <v>#VALUE!</v>
      </c>
      <c r="V109" s="328">
        <f t="shared" si="214"/>
        <v>0</v>
      </c>
      <c r="W109" s="364" t="e">
        <f>J109*68/12</f>
        <v>#VALUE!</v>
      </c>
      <c r="X109" s="365" t="e">
        <f>SUMIF('[1]Total 2'!$I:$I,_xlfn.TEXTJOIN(" ",TRUE,'NEW ATD PER TEAM'!$D$105,'NEW ATD PER TEAM'!$D109),'[1]Total 2'!AA:AA)</f>
        <v>#VALUE!</v>
      </c>
      <c r="Y109" s="216">
        <f t="shared" si="215"/>
        <v>0</v>
      </c>
      <c r="Z109" s="267" t="e">
        <f>SUMIF('[1]Total 2'!$I:$I,_xlfn.TEXTJOIN(" ",TRUE,'NEW ATD PER TEAM'!$D$105,'NEW ATD PER TEAM'!$D109),'[1]Total 2'!AC:AC)</f>
        <v>#VALUE!</v>
      </c>
      <c r="AA109" s="396" t="e">
        <f>SUMIF('[1]Total 2'!$I:$I,_xlfn.TEXTJOIN(" ",TRUE,'NEW ATD PER TEAM'!$D$105,'NEW ATD PER TEAM'!$D109),'[1]Total 2'!AD:AD)</f>
        <v>#VALUE!</v>
      </c>
      <c r="AB109" s="397"/>
      <c r="AC109" s="398" t="e">
        <f>J109*1854*40</f>
        <v>#VALUE!</v>
      </c>
      <c r="AD109" s="399" t="e">
        <f t="shared" si="216"/>
        <v>#VALUE!</v>
      </c>
      <c r="AE109" s="400" t="str">
        <f t="shared" si="217"/>
        <v/>
      </c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  <c r="BE109" s="341"/>
      <c r="BF109" s="341"/>
      <c r="BG109" s="341"/>
      <c r="BH109" s="341"/>
      <c r="BI109" s="341"/>
      <c r="BJ109" s="341"/>
      <c r="BK109" s="341"/>
      <c r="BL109" s="341"/>
      <c r="BM109" s="341"/>
      <c r="BN109" s="341"/>
      <c r="BO109" s="341"/>
      <c r="BP109" s="341"/>
      <c r="BQ109" s="341"/>
      <c r="BR109" s="341"/>
      <c r="BS109" s="341"/>
      <c r="BT109" s="341"/>
      <c r="BU109" s="341"/>
      <c r="BV109" s="341"/>
      <c r="BW109" s="341"/>
      <c r="BX109" s="341"/>
      <c r="BY109" s="341"/>
      <c r="BZ109" s="341"/>
      <c r="CA109" s="341"/>
      <c r="CB109" s="341"/>
      <c r="CC109" s="341"/>
      <c r="CD109" s="341"/>
      <c r="CE109" s="341"/>
      <c r="CF109" s="341"/>
      <c r="CG109" s="341"/>
      <c r="CH109" s="341"/>
      <c r="CI109" s="341"/>
      <c r="CJ109" s="341"/>
      <c r="CK109" s="341"/>
      <c r="CL109" s="341"/>
      <c r="CM109" s="341"/>
    </row>
    <row r="110" spans="1:91" s="342" customFormat="1" ht="16.2" thickBot="1">
      <c r="A110"/>
      <c r="B110" s="153"/>
      <c r="C110" s="949"/>
      <c r="D110" s="333"/>
      <c r="E110" s="222" t="s">
        <v>70</v>
      </c>
      <c r="F110" s="334"/>
      <c r="G110" s="224">
        <f>SUM(G106:G109)</f>
        <v>32</v>
      </c>
      <c r="H110" s="224">
        <f>SUM(H106:H109)</f>
        <v>14</v>
      </c>
      <c r="I110" s="225">
        <f t="shared" si="210"/>
        <v>0.4375</v>
      </c>
      <c r="J110" s="226" t="e">
        <f>SUM(J106:J109)</f>
        <v>#VALUE!</v>
      </c>
      <c r="K110" s="335" t="e">
        <f t="shared" ref="K110:L110" si="218">SUM(K106:K109)</f>
        <v>#VALUE!</v>
      </c>
      <c r="L110" s="228" t="e">
        <f t="shared" si="218"/>
        <v>#VALUE!</v>
      </c>
      <c r="M110" s="337">
        <f t="shared" si="211"/>
        <v>0</v>
      </c>
      <c r="N110" s="289" t="e">
        <f t="shared" ref="N110:O110" si="219">SUM(N106:N109)</f>
        <v>#VALUE!</v>
      </c>
      <c r="O110" s="290" t="e">
        <f t="shared" si="219"/>
        <v>#VALUE!</v>
      </c>
      <c r="P110" s="291">
        <f t="shared" si="212"/>
        <v>0</v>
      </c>
      <c r="Q110" s="289" t="e">
        <f t="shared" ref="Q110:R110" si="220">SUM(Q106:Q109)</f>
        <v>#VALUE!</v>
      </c>
      <c r="R110" s="290" t="e">
        <f t="shared" si="220"/>
        <v>#VALUE!</v>
      </c>
      <c r="S110" s="291">
        <f t="shared" si="213"/>
        <v>0</v>
      </c>
      <c r="T110" s="338" t="e">
        <f t="shared" ref="T110:U110" si="221">SUM(T106:T109)</f>
        <v>#VALUE!</v>
      </c>
      <c r="U110" s="339" t="e">
        <f t="shared" si="221"/>
        <v>#VALUE!</v>
      </c>
      <c r="V110" s="291">
        <f t="shared" si="214"/>
        <v>0</v>
      </c>
      <c r="W110" s="289" t="e">
        <f t="shared" ref="W110:X110" si="222">SUM(W106:W109)</f>
        <v>#VALUE!</v>
      </c>
      <c r="X110" s="290" t="e">
        <f t="shared" si="222"/>
        <v>#VALUE!</v>
      </c>
      <c r="Y110" s="291">
        <f t="shared" si="215"/>
        <v>0</v>
      </c>
      <c r="Z110" s="401" t="e">
        <f>SUM(Z106:Z109)</f>
        <v>#VALUE!</v>
      </c>
      <c r="AA110" s="401" t="e">
        <f>SUM(AA106:AA109)</f>
        <v>#VALUE!</v>
      </c>
      <c r="AB110" s="402"/>
      <c r="AC110" s="234" t="e">
        <f>SUM(AC106:AC109)</f>
        <v>#VALUE!</v>
      </c>
      <c r="AD110" s="235" t="e">
        <f>SUM(AD106:AD109)</f>
        <v>#VALUE!</v>
      </c>
      <c r="AE110" s="236" t="str">
        <f t="shared" si="217"/>
        <v/>
      </c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1"/>
      <c r="BF110" s="341"/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1"/>
      <c r="BT110" s="341"/>
      <c r="BU110" s="341"/>
      <c r="BV110" s="341"/>
      <c r="BW110" s="341"/>
      <c r="BX110" s="341"/>
      <c r="BY110" s="341"/>
      <c r="BZ110" s="341"/>
      <c r="CA110" s="341"/>
      <c r="CB110" s="341"/>
      <c r="CC110" s="341"/>
      <c r="CD110" s="341"/>
      <c r="CE110" s="341"/>
      <c r="CF110" s="341"/>
      <c r="CG110" s="341"/>
      <c r="CH110" s="341"/>
      <c r="CI110" s="341"/>
      <c r="CJ110" s="341"/>
      <c r="CK110" s="341"/>
      <c r="CL110" s="341"/>
      <c r="CM110" s="341"/>
    </row>
    <row r="111" spans="1:91" ht="16.5" customHeight="1" thickBot="1">
      <c r="B111" s="182"/>
      <c r="C111" s="948"/>
      <c r="D111" s="170" t="s">
        <v>140</v>
      </c>
      <c r="E111" s="241"/>
      <c r="F111" s="295" t="s">
        <v>67</v>
      </c>
      <c r="G111" s="239"/>
      <c r="H111" s="239"/>
      <c r="I111" s="240"/>
      <c r="J111" s="239"/>
      <c r="K111" s="239"/>
      <c r="L111" s="239"/>
      <c r="M111" s="297"/>
      <c r="N111" s="239"/>
      <c r="O111" s="239"/>
      <c r="P111" s="242"/>
      <c r="Q111" s="241"/>
      <c r="R111" s="241"/>
      <c r="S111" s="242"/>
      <c r="T111" s="298"/>
      <c r="U111" s="298"/>
      <c r="V111" s="240"/>
      <c r="W111" s="299"/>
      <c r="X111" s="299"/>
      <c r="Y111" s="242"/>
      <c r="Z111" s="180"/>
      <c r="AA111" s="180"/>
      <c r="AB111" s="300"/>
      <c r="AC111" s="263"/>
      <c r="AD111" s="263"/>
      <c r="AE111" s="264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  <c r="BE111" s="341"/>
      <c r="BF111" s="341"/>
      <c r="BG111" s="341"/>
      <c r="BH111" s="341"/>
      <c r="BI111" s="341"/>
      <c r="BJ111" s="341"/>
      <c r="BK111" s="341"/>
      <c r="BL111" s="341"/>
      <c r="BM111" s="341"/>
      <c r="BN111" s="341"/>
      <c r="BO111" s="341"/>
      <c r="BP111" s="341"/>
      <c r="BQ111" s="341"/>
      <c r="BR111" s="341"/>
      <c r="BS111" s="341"/>
      <c r="BT111" s="341"/>
      <c r="BU111" s="341"/>
      <c r="BV111" s="341"/>
      <c r="BW111" s="341"/>
      <c r="BX111" s="341"/>
      <c r="BY111" s="341"/>
      <c r="BZ111" s="341"/>
      <c r="CA111" s="341"/>
      <c r="CB111" s="341"/>
      <c r="CC111" s="341"/>
      <c r="CD111" s="341"/>
      <c r="CE111" s="341"/>
      <c r="CF111" s="341"/>
      <c r="CG111" s="341"/>
      <c r="CH111" s="341"/>
      <c r="CI111" s="341"/>
      <c r="CJ111" s="341"/>
      <c r="CK111" s="341"/>
      <c r="CL111" s="341"/>
      <c r="CM111" s="341"/>
    </row>
    <row r="112" spans="1:91" ht="16.5" customHeight="1">
      <c r="B112" s="182">
        <v>1</v>
      </c>
      <c r="C112" s="949"/>
      <c r="D112" s="97" t="s">
        <v>79</v>
      </c>
      <c r="E112" s="265" t="s">
        <v>141</v>
      </c>
      <c r="F112" s="403" t="s">
        <v>142</v>
      </c>
      <c r="G112" s="185">
        <v>8</v>
      </c>
      <c r="H112" s="186"/>
      <c r="I112" s="187">
        <f>IFERROR(H112/G112,"")</f>
        <v>0</v>
      </c>
      <c r="J112" s="188" t="e">
        <f>SUMIF('[1]Total 2'!$I:$I,_xlfn.TEXTJOIN(" ",TRUE,'NEW ATD PER TEAM'!$D$111,'NEW ATD PER TEAM'!$D112),'[1]Total 2'!L:L)</f>
        <v>#VALUE!</v>
      </c>
      <c r="K112" s="302" t="e">
        <f>J112*68/40</f>
        <v>#VALUE!</v>
      </c>
      <c r="L112" s="303" t="e">
        <f>SUMIF('[1]Total 2'!$I:$I,_xlfn.TEXTJOIN(" ",TRUE,'NEW ATD PER TEAM'!$D$111,'NEW ATD PER TEAM'!$D112),'[1]Total 2'!O:O)</f>
        <v>#VALUE!</v>
      </c>
      <c r="M112" s="304">
        <f>IFERROR(L112/K112,0)</f>
        <v>0</v>
      </c>
      <c r="N112" s="305" t="e">
        <f>J112*68/24</f>
        <v>#VALUE!</v>
      </c>
      <c r="O112" s="184" t="e">
        <f>SUMIF('[1]Total 2'!$I:$I,_xlfn.TEXTJOIN(" ",TRUE,'NEW ATD PER TEAM'!$D$111,'NEW ATD PER TEAM'!$D112),'[1]Total 2'!R:R)</f>
        <v>#VALUE!</v>
      </c>
      <c r="P112" s="191">
        <f>IFERROR(O112/N112,0)</f>
        <v>0</v>
      </c>
      <c r="Q112" s="192" t="e">
        <f>J112*68/24</f>
        <v>#VALUE!</v>
      </c>
      <c r="R112" s="193" t="e">
        <f>SUMIF('[1]Total 2'!$I:$I,_xlfn.TEXTJOIN(" ",TRUE,'NEW ATD PER TEAM'!$D$111,'NEW ATD PER TEAM'!$D112),'[1]Total 2'!U:U)</f>
        <v>#VALUE!</v>
      </c>
      <c r="S112" s="191">
        <f>IFERROR(R112/Q112,0)</f>
        <v>0</v>
      </c>
      <c r="T112" s="306" t="e">
        <f>J112*68/12</f>
        <v>#VALUE!</v>
      </c>
      <c r="U112" s="307" t="e">
        <f>SUMIF('[1]Total 2'!$I:$I,_xlfn.TEXTJOIN(" ",TRUE,'NEW ATD PER TEAM'!$D$111,'NEW ATD PER TEAM'!$D112),'[1]Total 2'!X:X)</f>
        <v>#VALUE!</v>
      </c>
      <c r="V112" s="308">
        <f>IFERROR(U112/T112,0)</f>
        <v>0</v>
      </c>
      <c r="W112" s="309" t="e">
        <f>J112*68/12</f>
        <v>#VALUE!</v>
      </c>
      <c r="X112" s="310" t="e">
        <f>SUMIF('[1]Total 2'!$I:$I,_xlfn.TEXTJOIN(" ",TRUE,'NEW ATD PER TEAM'!$D$111,'NEW ATD PER TEAM'!$D112),'[1]Total 2'!AA:AA)</f>
        <v>#VALUE!</v>
      </c>
      <c r="Y112" s="191">
        <f>IFERROR(X112/W112,0)</f>
        <v>0</v>
      </c>
      <c r="Z112" s="197" t="e">
        <f>SUMIF('[1]Total 2'!$I:$I,_xlfn.TEXTJOIN(" ",TRUE,'NEW ATD PER TEAM'!$D$111,'NEW ATD PER TEAM'!$D112),'[1]Total 2'!AC:AC)</f>
        <v>#VALUE!</v>
      </c>
      <c r="AA112" s="253" t="e">
        <f>SUMIF('[1]Total 2'!$I:$I,_xlfn.TEXTJOIN(" ",TRUE,'NEW ATD PER TEAM'!$D$111,'NEW ATD PER TEAM'!$D112),'[1]Total 2'!AD:AD)</f>
        <v>#VALUE!</v>
      </c>
      <c r="AB112" s="311"/>
      <c r="AC112" s="350" t="e">
        <f>J112*1854*40</f>
        <v>#VALUE!</v>
      </c>
      <c r="AD112" s="351" t="e">
        <f>AA112</f>
        <v>#VALUE!</v>
      </c>
      <c r="AE112" s="352" t="str">
        <f>IFERROR(AD112/AC112,"")</f>
        <v/>
      </c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  <c r="BE112" s="341"/>
      <c r="BF112" s="341"/>
      <c r="BG112" s="341"/>
      <c r="BH112" s="341"/>
      <c r="BI112" s="341"/>
      <c r="BJ112" s="341"/>
      <c r="BK112" s="341"/>
      <c r="BL112" s="341"/>
      <c r="BM112" s="341"/>
      <c r="BN112" s="341"/>
      <c r="BO112" s="341"/>
      <c r="BP112" s="341"/>
      <c r="BQ112" s="341"/>
      <c r="BR112" s="341"/>
      <c r="BS112" s="341"/>
      <c r="BT112" s="341"/>
      <c r="BU112" s="341"/>
      <c r="BV112" s="341"/>
      <c r="BW112" s="341"/>
      <c r="BX112" s="341"/>
      <c r="BY112" s="341"/>
      <c r="BZ112" s="341"/>
      <c r="CA112" s="341"/>
      <c r="CB112" s="341"/>
      <c r="CC112" s="341"/>
      <c r="CD112" s="341"/>
      <c r="CE112" s="341"/>
      <c r="CF112" s="341"/>
      <c r="CG112" s="341"/>
      <c r="CH112" s="341"/>
      <c r="CI112" s="341"/>
      <c r="CJ112" s="341"/>
      <c r="CK112" s="341"/>
      <c r="CL112" s="341"/>
      <c r="CM112" s="341"/>
    </row>
    <row r="113" spans="1:91" ht="15.75" customHeight="1">
      <c r="B113" s="182">
        <v>2</v>
      </c>
      <c r="C113" s="949"/>
      <c r="D113" s="57" t="s">
        <v>81</v>
      </c>
      <c r="F113" s="313"/>
      <c r="G113" s="202">
        <v>8</v>
      </c>
      <c r="H113" s="203">
        <v>5</v>
      </c>
      <c r="I113" s="204">
        <f t="shared" ref="I113:I116" si="223">IFERROR(H113/G113,"")</f>
        <v>0.625</v>
      </c>
      <c r="J113" s="21" t="e">
        <f>SUMIF('[1]Total 2'!$I:$I,_xlfn.TEXTJOIN(" ",TRUE,'NEW ATD PER TEAM'!$D$111,'NEW ATD PER TEAM'!$D113),'[1]Total 2'!L:L)</f>
        <v>#VALUE!</v>
      </c>
      <c r="K113" s="203" t="e">
        <f>J113*68/40</f>
        <v>#VALUE!</v>
      </c>
      <c r="L113" s="404" t="e">
        <f>SUMIF('[1]Total 2'!$I:$I,_xlfn.TEXTJOIN(" ",TRUE,'NEW ATD PER TEAM'!$D$111,'NEW ATD PER TEAM'!$D113),'[1]Total 2'!O:O)</f>
        <v>#VALUE!</v>
      </c>
      <c r="M113" s="315">
        <f t="shared" ref="M113:M116" si="224">IFERROR(L113/K113,0)</f>
        <v>0</v>
      </c>
      <c r="N113" s="21" t="e">
        <f>J113*68/24</f>
        <v>#VALUE!</v>
      </c>
      <c r="O113" s="316" t="e">
        <f>SUMIF('[1]Total 2'!$I:$I,_xlfn.TEXTJOIN(" ",TRUE,'NEW ATD PER TEAM'!$D$111,'NEW ATD PER TEAM'!$D113),'[1]Total 2'!R:R)</f>
        <v>#VALUE!</v>
      </c>
      <c r="P113" s="205">
        <f t="shared" ref="P113:P116" si="225">IFERROR(O113/N113,0)</f>
        <v>0</v>
      </c>
      <c r="Q113" s="18" t="e">
        <f>J113*68/24</f>
        <v>#VALUE!</v>
      </c>
      <c r="R113" s="103" t="e">
        <f>SUMIF('[1]Total 2'!$I:$I,_xlfn.TEXTJOIN(" ",TRUE,'NEW ATD PER TEAM'!$D$111,'NEW ATD PER TEAM'!$D113),'[1]Total 2'!U:U)</f>
        <v>#VALUE!</v>
      </c>
      <c r="S113" s="205">
        <f t="shared" ref="S113:S116" si="226">IFERROR(R113/Q113,0)</f>
        <v>0</v>
      </c>
      <c r="T113" s="317" t="e">
        <f>J113*68/12</f>
        <v>#VALUE!</v>
      </c>
      <c r="U113" s="318" t="e">
        <f>SUMIF('[1]Total 2'!$I:$I,_xlfn.TEXTJOIN(" ",TRUE,'NEW ATD PER TEAM'!$D$111,'NEW ATD PER TEAM'!$D113),'[1]Total 2'!X:X)</f>
        <v>#VALUE!</v>
      </c>
      <c r="V113" s="319">
        <f t="shared" ref="V113:V116" si="227">IFERROR(U113/T113,0)</f>
        <v>0</v>
      </c>
      <c r="W113" s="320" t="e">
        <f>J113*68/12</f>
        <v>#VALUE!</v>
      </c>
      <c r="X113" s="321" t="e">
        <f>SUMIF('[1]Total 2'!$I:$I,_xlfn.TEXTJOIN(" ",TRUE,'NEW ATD PER TEAM'!$D$111,'NEW ATD PER TEAM'!$D113),'[1]Total 2'!AA:AA)</f>
        <v>#VALUE!</v>
      </c>
      <c r="Y113" s="205">
        <f t="shared" ref="Y113:Y116" si="228">IFERROR(X113/W113,0)</f>
        <v>0</v>
      </c>
      <c r="Z113" s="206" t="e">
        <f>SUMIF('[1]Total 2'!$I:$I,_xlfn.TEXTJOIN(" ",TRUE,'NEW ATD PER TEAM'!$D$111,'NEW ATD PER TEAM'!$D113),'[1]Total 2'!AC:AC)</f>
        <v>#VALUE!</v>
      </c>
      <c r="AA113" s="207" t="e">
        <f>SUMIF('[1]Total 2'!$I:$I,_xlfn.TEXTJOIN(" ",TRUE,'NEW ATD PER TEAM'!$D$111,'NEW ATD PER TEAM'!$D113),'[1]Total 2'!AD:AD)</f>
        <v>#VALUE!</v>
      </c>
      <c r="AB113" s="322"/>
      <c r="AC113" s="356" t="e">
        <f>J113*1854*40</f>
        <v>#VALUE!</v>
      </c>
      <c r="AD113" s="357" t="e">
        <f t="shared" ref="AD113:AD115" si="229">AA113</f>
        <v>#VALUE!</v>
      </c>
      <c r="AE113" s="358" t="str">
        <f t="shared" ref="AE113:AE116" si="230">IFERROR(AD113/AC113,"")</f>
        <v/>
      </c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  <c r="BE113" s="341"/>
      <c r="BF113" s="341"/>
      <c r="BG113" s="341"/>
      <c r="BH113" s="341"/>
      <c r="BI113" s="341"/>
      <c r="BJ113" s="341"/>
      <c r="BK113" s="341"/>
      <c r="BL113" s="341"/>
      <c r="BM113" s="341"/>
      <c r="BN113" s="341"/>
      <c r="BO113" s="341"/>
      <c r="BP113" s="341"/>
      <c r="BQ113" s="341"/>
      <c r="BR113" s="341"/>
      <c r="BS113" s="341"/>
      <c r="BT113" s="341"/>
      <c r="BU113" s="341"/>
      <c r="BV113" s="341"/>
      <c r="BW113" s="341"/>
      <c r="BX113" s="341"/>
      <c r="BY113" s="341"/>
      <c r="BZ113" s="341"/>
      <c r="CA113" s="341"/>
      <c r="CB113" s="341"/>
      <c r="CC113" s="341"/>
      <c r="CD113" s="341"/>
      <c r="CE113" s="341"/>
      <c r="CF113" s="341"/>
      <c r="CG113" s="341"/>
      <c r="CH113" s="341"/>
      <c r="CI113" s="341"/>
      <c r="CJ113" s="341"/>
      <c r="CK113" s="341"/>
      <c r="CL113" s="341"/>
      <c r="CM113" s="341"/>
    </row>
    <row r="114" spans="1:91" ht="16.5" customHeight="1">
      <c r="B114" s="182">
        <v>3</v>
      </c>
      <c r="C114" s="949"/>
      <c r="D114" s="57" t="s">
        <v>83</v>
      </c>
      <c r="E114" s="405"/>
      <c r="F114" s="371"/>
      <c r="G114" s="202">
        <v>8</v>
      </c>
      <c r="H114" s="203"/>
      <c r="I114" s="204">
        <f t="shared" si="223"/>
        <v>0</v>
      </c>
      <c r="J114" s="21" t="e">
        <f>SUMIF('[1]Total 2'!$I:$I,_xlfn.TEXTJOIN(" ",TRUE,'NEW ATD PER TEAM'!$D$111,'NEW ATD PER TEAM'!$D114),'[1]Total 2'!L:L)</f>
        <v>#VALUE!</v>
      </c>
      <c r="K114" s="203" t="e">
        <f>J114*68/40</f>
        <v>#VALUE!</v>
      </c>
      <c r="L114" s="404" t="e">
        <f>SUMIF('[1]Total 2'!$I:$I,_xlfn.TEXTJOIN(" ",TRUE,'NEW ATD PER TEAM'!$D$111,'NEW ATD PER TEAM'!$D114),'[1]Total 2'!O:O)</f>
        <v>#VALUE!</v>
      </c>
      <c r="M114" s="315">
        <f t="shared" si="224"/>
        <v>0</v>
      </c>
      <c r="N114" s="21" t="e">
        <f>J114*68/24</f>
        <v>#VALUE!</v>
      </c>
      <c r="O114" s="316" t="e">
        <f>SUMIF('[1]Total 2'!$I:$I,_xlfn.TEXTJOIN(" ",TRUE,'NEW ATD PER TEAM'!$D$111,'NEW ATD PER TEAM'!$D114),'[1]Total 2'!R:R)</f>
        <v>#VALUE!</v>
      </c>
      <c r="P114" s="205">
        <f t="shared" si="225"/>
        <v>0</v>
      </c>
      <c r="Q114" s="18" t="e">
        <f>J114*68/24</f>
        <v>#VALUE!</v>
      </c>
      <c r="R114" s="103" t="e">
        <f>SUMIF('[1]Total 2'!$I:$I,_xlfn.TEXTJOIN(" ",TRUE,'NEW ATD PER TEAM'!$D$111,'NEW ATD PER TEAM'!$D114),'[1]Total 2'!U:U)</f>
        <v>#VALUE!</v>
      </c>
      <c r="S114" s="205">
        <f t="shared" si="226"/>
        <v>0</v>
      </c>
      <c r="T114" s="317" t="e">
        <f>J114*68/12</f>
        <v>#VALUE!</v>
      </c>
      <c r="U114" s="318" t="e">
        <f>SUMIF('[1]Total 2'!$I:$I,_xlfn.TEXTJOIN(" ",TRUE,'NEW ATD PER TEAM'!$D$111,'NEW ATD PER TEAM'!$D114),'[1]Total 2'!X:X)</f>
        <v>#VALUE!</v>
      </c>
      <c r="V114" s="319">
        <f t="shared" si="227"/>
        <v>0</v>
      </c>
      <c r="W114" s="320" t="e">
        <f>J114*68/12</f>
        <v>#VALUE!</v>
      </c>
      <c r="X114" s="321" t="e">
        <f>SUMIF('[1]Total 2'!$I:$I,_xlfn.TEXTJOIN(" ",TRUE,'NEW ATD PER TEAM'!$D$111,'NEW ATD PER TEAM'!$D114),'[1]Total 2'!AA:AA)</f>
        <v>#VALUE!</v>
      </c>
      <c r="Y114" s="205">
        <f t="shared" si="228"/>
        <v>0</v>
      </c>
      <c r="Z114" s="206" t="e">
        <f>SUMIF('[1]Total 2'!$I:$I,_xlfn.TEXTJOIN(" ",TRUE,'NEW ATD PER TEAM'!$D$111,'NEW ATD PER TEAM'!$D114),'[1]Total 2'!AC:AC)</f>
        <v>#VALUE!</v>
      </c>
      <c r="AA114" s="207" t="e">
        <f>SUMIF('[1]Total 2'!$I:$I,_xlfn.TEXTJOIN(" ",TRUE,'NEW ATD PER TEAM'!$D$111,'NEW ATD PER TEAM'!$D114),'[1]Total 2'!AD:AD)</f>
        <v>#VALUE!</v>
      </c>
      <c r="AB114" s="322"/>
      <c r="AC114" s="356" t="e">
        <f>J114*1854*40</f>
        <v>#VALUE!</v>
      </c>
      <c r="AD114" s="357" t="e">
        <f t="shared" si="229"/>
        <v>#VALUE!</v>
      </c>
      <c r="AE114" s="358" t="str">
        <f t="shared" si="230"/>
        <v/>
      </c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  <c r="BE114" s="341"/>
      <c r="BF114" s="341"/>
      <c r="BG114" s="341"/>
      <c r="BH114" s="341"/>
      <c r="BI114" s="341"/>
      <c r="BJ114" s="341"/>
      <c r="BK114" s="341"/>
      <c r="BL114" s="341"/>
      <c r="BM114" s="341"/>
      <c r="BN114" s="341"/>
      <c r="BO114" s="341"/>
      <c r="BP114" s="341"/>
      <c r="BQ114" s="341"/>
      <c r="BR114" s="341"/>
      <c r="BS114" s="341"/>
      <c r="BT114" s="341"/>
      <c r="BU114" s="341"/>
      <c r="BV114" s="341"/>
      <c r="BW114" s="341"/>
      <c r="BX114" s="341"/>
      <c r="BY114" s="341"/>
      <c r="BZ114" s="341"/>
      <c r="CA114" s="341"/>
      <c r="CB114" s="341"/>
      <c r="CC114" s="341"/>
      <c r="CD114" s="341"/>
      <c r="CE114" s="341"/>
      <c r="CF114" s="341"/>
      <c r="CG114" s="341"/>
      <c r="CH114" s="341"/>
      <c r="CI114" s="341"/>
      <c r="CJ114" s="341"/>
      <c r="CK114" s="341"/>
      <c r="CL114" s="341"/>
      <c r="CM114" s="341"/>
    </row>
    <row r="115" spans="1:91" ht="16.5" customHeight="1" thickBot="1">
      <c r="B115" s="182">
        <v>4</v>
      </c>
      <c r="C115" s="949"/>
      <c r="D115" s="209" t="s">
        <v>85</v>
      </c>
      <c r="E115" s="406"/>
      <c r="F115" s="373"/>
      <c r="G115" s="212">
        <v>8</v>
      </c>
      <c r="H115" s="213"/>
      <c r="I115" s="214">
        <f t="shared" si="223"/>
        <v>0</v>
      </c>
      <c r="J115" s="215" t="e">
        <f>SUMIF('[1]Total 2'!$I:$I,_xlfn.TEXTJOIN(" ",TRUE,'NEW ATD PER TEAM'!$D$111,'NEW ATD PER TEAM'!$D115),'[1]Total 2'!L:L)</f>
        <v>#VALUE!</v>
      </c>
      <c r="K115" s="213" t="e">
        <f>J115*68/40</f>
        <v>#VALUE!</v>
      </c>
      <c r="L115" s="407" t="e">
        <f>SUMIF('[1]Total 2'!$I:$I,_xlfn.TEXTJOIN(" ",TRUE,'NEW ATD PER TEAM'!$D$111,'NEW ATD PER TEAM'!$D115),'[1]Total 2'!O:O)</f>
        <v>#VALUE!</v>
      </c>
      <c r="M115" s="324">
        <f t="shared" si="224"/>
        <v>0</v>
      </c>
      <c r="N115" s="215" t="e">
        <f>J115*68/24</f>
        <v>#VALUE!</v>
      </c>
      <c r="O115" s="325" t="e">
        <f>SUMIF('[1]Total 2'!$I:$I,_xlfn.TEXTJOIN(" ",TRUE,'NEW ATD PER TEAM'!$D$111,'NEW ATD PER TEAM'!$D115),'[1]Total 2'!R:R)</f>
        <v>#VALUE!</v>
      </c>
      <c r="P115" s="216">
        <f t="shared" si="225"/>
        <v>0</v>
      </c>
      <c r="Q115" s="109" t="e">
        <f>J115*68/24</f>
        <v>#VALUE!</v>
      </c>
      <c r="R115" s="110" t="e">
        <f>SUMIF('[1]Total 2'!$I:$I,_xlfn.TEXTJOIN(" ",TRUE,'NEW ATD PER TEAM'!$D$111,'NEW ATD PER TEAM'!$D115),'[1]Total 2'!U:U)</f>
        <v>#VALUE!</v>
      </c>
      <c r="S115" s="216">
        <f t="shared" si="226"/>
        <v>0</v>
      </c>
      <c r="T115" s="326" t="e">
        <f>J115*68/12</f>
        <v>#VALUE!</v>
      </c>
      <c r="U115" s="327" t="e">
        <f>SUMIF('[1]Total 2'!$I:$I,_xlfn.TEXTJOIN(" ",TRUE,'NEW ATD PER TEAM'!$D$111,'NEW ATD PER TEAM'!$D115),'[1]Total 2'!X:X)</f>
        <v>#VALUE!</v>
      </c>
      <c r="V115" s="328">
        <f t="shared" si="227"/>
        <v>0</v>
      </c>
      <c r="W115" s="329" t="e">
        <f>J115*68/12</f>
        <v>#VALUE!</v>
      </c>
      <c r="X115" s="330" t="e">
        <f>SUMIF('[1]Total 2'!$I:$I,_xlfn.TEXTJOIN(" ",TRUE,'NEW ATD PER TEAM'!$D$111,'NEW ATD PER TEAM'!$D115),'[1]Total 2'!AA:AA)</f>
        <v>#VALUE!</v>
      </c>
      <c r="Y115" s="216">
        <f t="shared" si="228"/>
        <v>0</v>
      </c>
      <c r="Z115" s="217" t="e">
        <f>SUMIF('[1]Total 2'!$I:$I,_xlfn.TEXTJOIN(" ",TRUE,'NEW ATD PER TEAM'!$D$111,'NEW ATD PER TEAM'!$D115),'[1]Total 2'!AC:AC)</f>
        <v>#VALUE!</v>
      </c>
      <c r="AA115" s="218" t="e">
        <f>SUMIF('[1]Total 2'!$I:$I,_xlfn.TEXTJOIN(" ",TRUE,'NEW ATD PER TEAM'!$D$111,'NEW ATD PER TEAM'!$D115),'[1]Total 2'!AD:AD)</f>
        <v>#VALUE!</v>
      </c>
      <c r="AB115" s="331"/>
      <c r="AC115" s="398" t="e">
        <f>J115*1854*40</f>
        <v>#VALUE!</v>
      </c>
      <c r="AD115" s="399" t="e">
        <f t="shared" si="229"/>
        <v>#VALUE!</v>
      </c>
      <c r="AE115" s="400" t="str">
        <f t="shared" si="230"/>
        <v/>
      </c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  <c r="BE115" s="341"/>
      <c r="BF115" s="341"/>
      <c r="BG115" s="341"/>
      <c r="BH115" s="341"/>
      <c r="BI115" s="341"/>
      <c r="BJ115" s="341"/>
      <c r="BK115" s="341"/>
      <c r="BL115" s="341"/>
      <c r="BM115" s="341"/>
      <c r="BN115" s="341"/>
      <c r="BO115" s="341"/>
      <c r="BP115" s="341"/>
      <c r="BQ115" s="341"/>
      <c r="BR115" s="341"/>
      <c r="BS115" s="341"/>
      <c r="BT115" s="341"/>
      <c r="BU115" s="341"/>
      <c r="BV115" s="341"/>
      <c r="BW115" s="341"/>
      <c r="BX115" s="341"/>
      <c r="BY115" s="341"/>
      <c r="BZ115" s="341"/>
      <c r="CA115" s="341"/>
      <c r="CB115" s="341"/>
      <c r="CC115" s="341"/>
      <c r="CD115" s="341"/>
      <c r="CE115" s="341"/>
      <c r="CF115" s="341"/>
      <c r="CG115" s="341"/>
      <c r="CH115" s="341"/>
      <c r="CI115" s="341"/>
      <c r="CJ115" s="341"/>
      <c r="CK115" s="341"/>
      <c r="CL115" s="341"/>
      <c r="CM115" s="341"/>
    </row>
    <row r="116" spans="1:91" s="342" customFormat="1" ht="16.2" thickBot="1">
      <c r="A116"/>
      <c r="B116" s="153"/>
      <c r="C116" s="949"/>
      <c r="D116" s="333"/>
      <c r="E116" s="222" t="s">
        <v>70</v>
      </c>
      <c r="F116" s="334"/>
      <c r="G116" s="224">
        <f>SUM(G112:G115)</f>
        <v>32</v>
      </c>
      <c r="H116" s="224">
        <f>SUM(H112:H115)</f>
        <v>5</v>
      </c>
      <c r="I116" s="225">
        <f t="shared" si="223"/>
        <v>0.15625</v>
      </c>
      <c r="J116" s="226" t="e">
        <f>SUM(J112:J115)</f>
        <v>#VALUE!</v>
      </c>
      <c r="K116" s="335" t="e">
        <f t="shared" ref="K116:L116" si="231">SUM(K112:K115)</f>
        <v>#VALUE!</v>
      </c>
      <c r="L116" s="336" t="e">
        <f t="shared" si="231"/>
        <v>#VALUE!</v>
      </c>
      <c r="M116" s="337">
        <f t="shared" si="224"/>
        <v>0</v>
      </c>
      <c r="N116" s="289" t="e">
        <f t="shared" ref="N116:O116" si="232">SUM(N112:N115)</f>
        <v>#VALUE!</v>
      </c>
      <c r="O116" s="290" t="e">
        <f t="shared" si="232"/>
        <v>#VALUE!</v>
      </c>
      <c r="P116" s="291">
        <f t="shared" si="225"/>
        <v>0</v>
      </c>
      <c r="Q116" s="289" t="e">
        <f t="shared" ref="Q116:R116" si="233">SUM(Q112:Q115)</f>
        <v>#VALUE!</v>
      </c>
      <c r="R116" s="290" t="e">
        <f t="shared" si="233"/>
        <v>#VALUE!</v>
      </c>
      <c r="S116" s="291">
        <f t="shared" si="226"/>
        <v>0</v>
      </c>
      <c r="T116" s="338" t="e">
        <f t="shared" ref="T116:U116" si="234">SUM(T112:T115)</f>
        <v>#VALUE!</v>
      </c>
      <c r="U116" s="339" t="e">
        <f t="shared" si="234"/>
        <v>#VALUE!</v>
      </c>
      <c r="V116" s="291">
        <f t="shared" si="227"/>
        <v>0</v>
      </c>
      <c r="W116" s="289" t="e">
        <f t="shared" ref="W116:X116" si="235">SUM(W112:W115)</f>
        <v>#VALUE!</v>
      </c>
      <c r="X116" s="290" t="e">
        <f t="shared" si="235"/>
        <v>#VALUE!</v>
      </c>
      <c r="Y116" s="291">
        <f t="shared" si="228"/>
        <v>0</v>
      </c>
      <c r="Z116" s="234" t="e">
        <f>SUM(Z112:Z115)</f>
        <v>#VALUE!</v>
      </c>
      <c r="AA116" s="234" t="e">
        <f>SUM(AA112:AA115)</f>
        <v>#VALUE!</v>
      </c>
      <c r="AB116" s="340"/>
      <c r="AC116" s="234" t="e">
        <f>SUM(AC112:AC115)</f>
        <v>#VALUE!</v>
      </c>
      <c r="AD116" s="235" t="e">
        <f>SUM(AD112:AD115)</f>
        <v>#VALUE!</v>
      </c>
      <c r="AE116" s="236" t="str">
        <f t="shared" si="230"/>
        <v/>
      </c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  <c r="BE116" s="341"/>
      <c r="BF116" s="341"/>
      <c r="BG116" s="341"/>
      <c r="BH116" s="341"/>
      <c r="BI116" s="341"/>
      <c r="BJ116" s="341"/>
      <c r="BK116" s="341"/>
      <c r="BL116" s="341"/>
      <c r="BM116" s="341"/>
      <c r="BN116" s="341"/>
      <c r="BO116" s="341"/>
      <c r="BP116" s="341"/>
      <c r="BQ116" s="341"/>
      <c r="BR116" s="341"/>
      <c r="BS116" s="341"/>
      <c r="BT116" s="341"/>
      <c r="BU116" s="341"/>
      <c r="BV116" s="341"/>
      <c r="BW116" s="341"/>
      <c r="BX116" s="341"/>
      <c r="BY116" s="341"/>
      <c r="BZ116" s="341"/>
      <c r="CA116" s="341"/>
      <c r="CB116" s="341"/>
      <c r="CC116" s="341"/>
      <c r="CD116" s="341"/>
      <c r="CE116" s="341"/>
      <c r="CF116" s="341"/>
      <c r="CG116" s="341"/>
      <c r="CH116" s="341"/>
      <c r="CI116" s="341"/>
      <c r="CJ116" s="341"/>
      <c r="CK116" s="341"/>
      <c r="CL116" s="341"/>
      <c r="CM116" s="341"/>
    </row>
    <row r="117" spans="1:91" ht="16.5" customHeight="1" thickBot="1">
      <c r="B117" s="182"/>
      <c r="C117" s="948"/>
      <c r="D117" s="170" t="s">
        <v>143</v>
      </c>
      <c r="E117" s="241"/>
      <c r="F117" s="294" t="s">
        <v>68</v>
      </c>
      <c r="G117" s="239"/>
      <c r="H117" s="239"/>
      <c r="I117" s="240"/>
      <c r="J117" s="239"/>
      <c r="K117" s="239"/>
      <c r="L117" s="239"/>
      <c r="M117" s="297"/>
      <c r="N117" s="239"/>
      <c r="O117" s="239"/>
      <c r="P117" s="242"/>
      <c r="Q117" s="241"/>
      <c r="R117" s="241"/>
      <c r="S117" s="242"/>
      <c r="T117" s="298"/>
      <c r="U117" s="298"/>
      <c r="V117" s="240"/>
      <c r="W117" s="245"/>
      <c r="X117" s="245"/>
      <c r="Y117" s="242"/>
      <c r="Z117" s="180"/>
      <c r="AA117" s="180"/>
      <c r="AB117" s="300"/>
      <c r="AC117" s="263"/>
      <c r="AD117" s="263"/>
      <c r="AE117" s="264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  <c r="BE117" s="341"/>
      <c r="BF117" s="341"/>
      <c r="BG117" s="341"/>
      <c r="BH117" s="341"/>
      <c r="BI117" s="341"/>
      <c r="BJ117" s="341"/>
      <c r="BK117" s="341"/>
      <c r="BL117" s="341"/>
      <c r="BM117" s="341"/>
      <c r="BN117" s="341"/>
      <c r="BO117" s="341"/>
      <c r="BP117" s="341"/>
      <c r="BQ117" s="341"/>
      <c r="BR117" s="341"/>
      <c r="BS117" s="341"/>
      <c r="BT117" s="341"/>
      <c r="BU117" s="341"/>
      <c r="BV117" s="341"/>
      <c r="BW117" s="341"/>
      <c r="BX117" s="341"/>
      <c r="BY117" s="341"/>
      <c r="BZ117" s="341"/>
      <c r="CA117" s="341"/>
      <c r="CB117" s="341"/>
      <c r="CC117" s="341"/>
      <c r="CD117" s="341"/>
      <c r="CE117" s="341"/>
      <c r="CF117" s="341"/>
      <c r="CG117" s="341"/>
      <c r="CH117" s="341"/>
      <c r="CI117" s="341"/>
      <c r="CJ117" s="341"/>
      <c r="CK117" s="341"/>
      <c r="CL117" s="341"/>
      <c r="CM117" s="341"/>
    </row>
    <row r="118" spans="1:91" ht="16.5" customHeight="1">
      <c r="B118" s="182">
        <v>1</v>
      </c>
      <c r="C118" s="949"/>
      <c r="D118" s="97" t="s">
        <v>79</v>
      </c>
      <c r="E118" s="260" t="s">
        <v>144</v>
      </c>
      <c r="F118" s="408"/>
      <c r="G118" s="185">
        <v>8</v>
      </c>
      <c r="H118" s="186">
        <v>7</v>
      </c>
      <c r="I118" s="187">
        <f>IFERROR(H118/G118,"")</f>
        <v>0.875</v>
      </c>
      <c r="J118" s="188" t="e">
        <f>SUMIF('[1]Total 2'!$I:$I,_xlfn.TEXTJOIN(" ",TRUE,'NEW ATD PER TEAM'!$D$117,'NEW ATD PER TEAM'!$D118),'[1]Total 2'!L:L)</f>
        <v>#VALUE!</v>
      </c>
      <c r="K118" s="302" t="e">
        <f>J118*68/40</f>
        <v>#VALUE!</v>
      </c>
      <c r="L118" s="303" t="e">
        <f>SUMIF('[1]Total 2'!$I:$I,_xlfn.TEXTJOIN(" ",TRUE,'NEW ATD PER TEAM'!$D$117,'NEW ATD PER TEAM'!$D118),'[1]Total 2'!O:O)</f>
        <v>#VALUE!</v>
      </c>
      <c r="M118" s="304">
        <f>IFERROR(L118/K118,0)</f>
        <v>0</v>
      </c>
      <c r="N118" s="305" t="e">
        <f>J118*68/24</f>
        <v>#VALUE!</v>
      </c>
      <c r="O118" s="184" t="e">
        <f>SUMIF('[1]Total 2'!$I:$I,_xlfn.TEXTJOIN(" ",TRUE,'NEW ATD PER TEAM'!$D$117,'NEW ATD PER TEAM'!$D118),'[1]Total 2'!R:R)</f>
        <v>#VALUE!</v>
      </c>
      <c r="P118" s="191">
        <f>IFERROR(O118/N118,0)</f>
        <v>0</v>
      </c>
      <c r="Q118" s="192" t="e">
        <f>J118*68/24</f>
        <v>#VALUE!</v>
      </c>
      <c r="R118" s="193" t="e">
        <f>SUMIF('[1]Total 2'!$I:$I,_xlfn.TEXTJOIN(" ",TRUE,'NEW ATD PER TEAM'!$D$117,'NEW ATD PER TEAM'!$D118),'[1]Total 2'!U:U)</f>
        <v>#VALUE!</v>
      </c>
      <c r="S118" s="191">
        <f>IFERROR(R118/Q118,0)</f>
        <v>0</v>
      </c>
      <c r="T118" s="306" t="e">
        <f>J118*68/12</f>
        <v>#VALUE!</v>
      </c>
      <c r="U118" s="307" t="e">
        <f>SUMIF('[1]Total 2'!$I:$I,_xlfn.TEXTJOIN(" ",TRUE,'NEW ATD PER TEAM'!$D$117,'NEW ATD PER TEAM'!$D118),'[1]Total 2'!X:X)</f>
        <v>#VALUE!</v>
      </c>
      <c r="V118" s="308">
        <f>IFERROR(U118/T118,0)</f>
        <v>0</v>
      </c>
      <c r="W118" s="348" t="e">
        <f>J118*68/12</f>
        <v>#VALUE!</v>
      </c>
      <c r="X118" s="349" t="e">
        <f>SUMIF('[1]Total 2'!$I:$I,_xlfn.TEXTJOIN(" ",TRUE,'NEW ATD PER TEAM'!$D$117,'NEW ATD PER TEAM'!$D118),'[1]Total 2'!AA:AA)</f>
        <v>#VALUE!</v>
      </c>
      <c r="Y118" s="191">
        <f>IFERROR(X118/W118,0)</f>
        <v>0</v>
      </c>
      <c r="Z118" s="197" t="e">
        <f>SUMIF('[1]Total 2'!$I:$I,_xlfn.TEXTJOIN(" ",TRUE,'NEW ATD PER TEAM'!$D$117,'NEW ATD PER TEAM'!$D118),'[1]Total 2'!AC:AC)</f>
        <v>#VALUE!</v>
      </c>
      <c r="AA118" s="253" t="e">
        <f>SUMIF('[1]Total 2'!$I:$I,_xlfn.TEXTJOIN(" ",TRUE,'NEW ATD PER TEAM'!$D$117,'NEW ATD PER TEAM'!$D118),'[1]Total 2'!AD:AD)</f>
        <v>#VALUE!</v>
      </c>
      <c r="AB118" s="311"/>
      <c r="AC118" s="312" t="e">
        <f>J118*1854*40</f>
        <v>#VALUE!</v>
      </c>
      <c r="AD118" s="351" t="e">
        <f>AA118</f>
        <v>#VALUE!</v>
      </c>
      <c r="AE118" s="352" t="str">
        <f>IFERROR(AD118/AC118,"")</f>
        <v/>
      </c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  <c r="BE118" s="341"/>
      <c r="BF118" s="341"/>
      <c r="BG118" s="341"/>
      <c r="BH118" s="341"/>
      <c r="BI118" s="341"/>
      <c r="BJ118" s="341"/>
      <c r="BK118" s="341"/>
      <c r="BL118" s="341"/>
      <c r="BM118" s="341"/>
      <c r="BN118" s="341"/>
      <c r="BO118" s="341"/>
      <c r="BP118" s="341"/>
      <c r="BQ118" s="341"/>
      <c r="BR118" s="341"/>
      <c r="BS118" s="341"/>
      <c r="BT118" s="341"/>
      <c r="BU118" s="341"/>
      <c r="BV118" s="341"/>
      <c r="BW118" s="341"/>
      <c r="BX118" s="341"/>
      <c r="BY118" s="341"/>
      <c r="BZ118" s="341"/>
      <c r="CA118" s="341"/>
      <c r="CB118" s="341"/>
      <c r="CC118" s="341"/>
      <c r="CD118" s="341"/>
      <c r="CE118" s="341"/>
      <c r="CF118" s="341"/>
      <c r="CG118" s="341"/>
      <c r="CH118" s="341"/>
      <c r="CI118" s="341"/>
      <c r="CJ118" s="341"/>
      <c r="CK118" s="341"/>
      <c r="CL118" s="341"/>
      <c r="CM118" s="341"/>
    </row>
    <row r="119" spans="1:91" ht="16.5" customHeight="1">
      <c r="B119" s="182">
        <v>2</v>
      </c>
      <c r="C119" s="949"/>
      <c r="D119" s="57" t="s">
        <v>81</v>
      </c>
      <c r="E119" s="405"/>
      <c r="F119" s="371"/>
      <c r="G119" s="202">
        <v>8</v>
      </c>
      <c r="H119" s="203"/>
      <c r="I119" s="204">
        <f t="shared" ref="I119:I122" si="236">IFERROR(H119/G119,"")</f>
        <v>0</v>
      </c>
      <c r="J119" s="21" t="e">
        <f>SUMIF('[1]Total 2'!$I:$I,_xlfn.TEXTJOIN(" ",TRUE,'NEW ATD PER TEAM'!$D$117,'NEW ATD PER TEAM'!$D119),'[1]Total 2'!L:L)</f>
        <v>#VALUE!</v>
      </c>
      <c r="K119" s="409" t="e">
        <f>J119*68/40</f>
        <v>#VALUE!</v>
      </c>
      <c r="L119" s="410" t="e">
        <f>SUMIF('[1]Total 2'!$I:$I,_xlfn.TEXTJOIN(" ",TRUE,'NEW ATD PER TEAM'!$D$117,'NEW ATD PER TEAM'!$D119),'[1]Total 2'!O:O)</f>
        <v>#VALUE!</v>
      </c>
      <c r="M119" s="315">
        <f t="shared" ref="M119:M122" si="237">IFERROR(L119/K119,0)</f>
        <v>0</v>
      </c>
      <c r="N119" s="411" t="e">
        <f>J119*68/24</f>
        <v>#VALUE!</v>
      </c>
      <c r="O119" s="412" t="e">
        <f>SUMIF('[1]Total 2'!$I:$I,_xlfn.TEXTJOIN(" ",TRUE,'NEW ATD PER TEAM'!$D$117,'NEW ATD PER TEAM'!$D119),'[1]Total 2'!R:R)</f>
        <v>#VALUE!</v>
      </c>
      <c r="P119" s="205">
        <f t="shared" ref="P119:P122" si="238">IFERROR(O119/N119,0)</f>
        <v>0</v>
      </c>
      <c r="Q119" s="413" t="e">
        <f>J119*68/24</f>
        <v>#VALUE!</v>
      </c>
      <c r="R119" s="414" t="e">
        <f>SUMIF('[1]Total 2'!$I:$I,_xlfn.TEXTJOIN(" ",TRUE,'NEW ATD PER TEAM'!$D$117,'NEW ATD PER TEAM'!$D119),'[1]Total 2'!U:U)</f>
        <v>#VALUE!</v>
      </c>
      <c r="S119" s="415">
        <f t="shared" ref="S119:S122" si="239">IFERROR(R119/Q119,0)</f>
        <v>0</v>
      </c>
      <c r="T119" s="21" t="e">
        <f>J119*68/12</f>
        <v>#VALUE!</v>
      </c>
      <c r="U119" s="316" t="e">
        <f>SUMIF('[1]Total 2'!$I:$I,_xlfn.TEXTJOIN(" ",TRUE,'NEW ATD PER TEAM'!$D$117,'NEW ATD PER TEAM'!$D119),'[1]Total 2'!X:X)</f>
        <v>#VALUE!</v>
      </c>
      <c r="V119" s="319">
        <f t="shared" ref="V119:V122" si="240">IFERROR(U119/T119,0)</f>
        <v>0</v>
      </c>
      <c r="W119" s="416" t="e">
        <f>J119*68/12</f>
        <v>#VALUE!</v>
      </c>
      <c r="X119" s="417" t="e">
        <f>SUMIF('[1]Total 2'!$I:$I,_xlfn.TEXTJOIN(" ",TRUE,'NEW ATD PER TEAM'!$D$117,'NEW ATD PER TEAM'!$D119),'[1]Total 2'!AA:AA)</f>
        <v>#VALUE!</v>
      </c>
      <c r="Y119" s="205">
        <f t="shared" ref="Y119:Y122" si="241">IFERROR(X119/W119,0)</f>
        <v>0</v>
      </c>
      <c r="Z119" s="206" t="e">
        <f>SUMIF('[1]Total 2'!$I:$I,_xlfn.TEXTJOIN(" ",TRUE,'NEW ATD PER TEAM'!$D$117,'NEW ATD PER TEAM'!$D119),'[1]Total 2'!AC:AC)</f>
        <v>#VALUE!</v>
      </c>
      <c r="AA119" s="207" t="e">
        <f>SUMIF('[1]Total 2'!$I:$I,_xlfn.TEXTJOIN(" ",TRUE,'NEW ATD PER TEAM'!$D$117,'NEW ATD PER TEAM'!$D119),'[1]Total 2'!AD:AD)</f>
        <v>#VALUE!</v>
      </c>
      <c r="AB119" s="322"/>
      <c r="AC119" s="107" t="e">
        <f>J119*1854*40</f>
        <v>#VALUE!</v>
      </c>
      <c r="AD119" s="357" t="e">
        <f>AA119</f>
        <v>#VALUE!</v>
      </c>
      <c r="AE119" s="358" t="str">
        <f t="shared" ref="AE119:AE122" si="242">IFERROR(AD119/AC119,"")</f>
        <v/>
      </c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  <c r="BE119" s="341"/>
      <c r="BF119" s="341"/>
      <c r="BG119" s="341"/>
      <c r="BH119" s="341"/>
      <c r="BI119" s="341"/>
      <c r="BJ119" s="341"/>
      <c r="BK119" s="341"/>
      <c r="BL119" s="341"/>
      <c r="BM119" s="341"/>
      <c r="BN119" s="341"/>
      <c r="BO119" s="341"/>
      <c r="BP119" s="341"/>
      <c r="BQ119" s="341"/>
      <c r="BR119" s="341"/>
      <c r="BS119" s="341"/>
      <c r="BT119" s="341"/>
      <c r="BU119" s="341"/>
      <c r="BV119" s="341"/>
      <c r="BW119" s="341"/>
      <c r="BX119" s="341"/>
      <c r="BY119" s="341"/>
      <c r="BZ119" s="341"/>
      <c r="CA119" s="341"/>
      <c r="CB119" s="341"/>
      <c r="CC119" s="341"/>
      <c r="CD119" s="341"/>
      <c r="CE119" s="341"/>
      <c r="CF119" s="341"/>
      <c r="CG119" s="341"/>
      <c r="CH119" s="341"/>
      <c r="CI119" s="341"/>
      <c r="CJ119" s="341"/>
      <c r="CK119" s="341"/>
      <c r="CL119" s="341"/>
      <c r="CM119" s="341"/>
    </row>
    <row r="120" spans="1:91" ht="16.5" customHeight="1">
      <c r="B120" s="182">
        <v>3</v>
      </c>
      <c r="C120" s="949"/>
      <c r="D120" s="57" t="s">
        <v>83</v>
      </c>
      <c r="E120" s="405"/>
      <c r="F120" s="371"/>
      <c r="G120" s="202">
        <v>8</v>
      </c>
      <c r="H120" s="203"/>
      <c r="I120" s="204">
        <f t="shared" si="236"/>
        <v>0</v>
      </c>
      <c r="J120" s="21" t="e">
        <f>SUMIF('[1]Total 2'!$I:$I,_xlfn.TEXTJOIN(" ",TRUE,'NEW ATD PER TEAM'!$D$117,'NEW ATD PER TEAM'!$D120),'[1]Total 2'!L:L)</f>
        <v>#VALUE!</v>
      </c>
      <c r="K120" s="203" t="e">
        <f>J120*68/40</f>
        <v>#VALUE!</v>
      </c>
      <c r="L120" s="410" t="e">
        <f>SUMIF('[1]Total 2'!$I:$I,_xlfn.TEXTJOIN(" ",TRUE,'NEW ATD PER TEAM'!$D$117,'NEW ATD PER TEAM'!$D120),'[1]Total 2'!O:O)</f>
        <v>#VALUE!</v>
      </c>
      <c r="M120" s="315">
        <f t="shared" si="237"/>
        <v>0</v>
      </c>
      <c r="N120" s="21" t="e">
        <f>J120*68/24</f>
        <v>#VALUE!</v>
      </c>
      <c r="O120" s="316" t="e">
        <f>SUMIF('[1]Total 2'!$I:$I,_xlfn.TEXTJOIN(" ",TRUE,'NEW ATD PER TEAM'!$D$117,'NEW ATD PER TEAM'!$D120),'[1]Total 2'!R:R)</f>
        <v>#VALUE!</v>
      </c>
      <c r="P120" s="205">
        <f t="shared" si="238"/>
        <v>0</v>
      </c>
      <c r="Q120" s="418" t="e">
        <f>J120*68/24</f>
        <v>#VALUE!</v>
      </c>
      <c r="R120" s="419" t="e">
        <f>SUMIF('[1]Total 2'!$I:$I,_xlfn.TEXTJOIN(" ",TRUE,'NEW ATD PER TEAM'!$D$117,'NEW ATD PER TEAM'!$D120),'[1]Total 2'!U:U)</f>
        <v>#VALUE!</v>
      </c>
      <c r="S120" s="420">
        <f t="shared" si="239"/>
        <v>0</v>
      </c>
      <c r="T120" s="317" t="e">
        <f>J120*68/12</f>
        <v>#VALUE!</v>
      </c>
      <c r="U120" s="318" t="e">
        <f>SUMIF('[1]Total 2'!$I:$I,_xlfn.TEXTJOIN(" ",TRUE,'NEW ATD PER TEAM'!$D$117,'NEW ATD PER TEAM'!$D120),'[1]Total 2'!X:X)</f>
        <v>#VALUE!</v>
      </c>
      <c r="V120" s="319">
        <f t="shared" si="240"/>
        <v>0</v>
      </c>
      <c r="W120" s="359" t="e">
        <f>J120*68/12</f>
        <v>#VALUE!</v>
      </c>
      <c r="X120" s="360" t="e">
        <f>SUMIF('[1]Total 2'!$I:$I,_xlfn.TEXTJOIN(" ",TRUE,'NEW ATD PER TEAM'!$D$117,'NEW ATD PER TEAM'!$D120),'[1]Total 2'!AA:AA)</f>
        <v>#VALUE!</v>
      </c>
      <c r="Y120" s="205">
        <f t="shared" si="241"/>
        <v>0</v>
      </c>
      <c r="Z120" s="206" t="e">
        <f>SUMIF('[1]Total 2'!$I:$I,_xlfn.TEXTJOIN(" ",TRUE,'NEW ATD PER TEAM'!$D$117,'NEW ATD PER TEAM'!$D120),'[1]Total 2'!AC:AC)</f>
        <v>#VALUE!</v>
      </c>
      <c r="AA120" s="207" t="e">
        <f>SUMIF('[1]Total 2'!$I:$I,_xlfn.TEXTJOIN(" ",TRUE,'NEW ATD PER TEAM'!$D$117,'NEW ATD PER TEAM'!$D120),'[1]Total 2'!AD:AD)</f>
        <v>#VALUE!</v>
      </c>
      <c r="AB120" s="322"/>
      <c r="AC120" s="107" t="e">
        <f>J120*1854*40</f>
        <v>#VALUE!</v>
      </c>
      <c r="AD120" s="357" t="e">
        <f t="shared" ref="AD120:AD121" si="243">AA120</f>
        <v>#VALUE!</v>
      </c>
      <c r="AE120" s="358" t="str">
        <f t="shared" si="242"/>
        <v/>
      </c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  <c r="BE120" s="341"/>
      <c r="BF120" s="341"/>
      <c r="BG120" s="341"/>
      <c r="BH120" s="341"/>
      <c r="BI120" s="341"/>
      <c r="BJ120" s="341"/>
      <c r="BK120" s="341"/>
      <c r="BL120" s="341"/>
      <c r="BM120" s="341"/>
      <c r="BN120" s="341"/>
      <c r="BO120" s="341"/>
      <c r="BP120" s="341"/>
      <c r="BQ120" s="341"/>
      <c r="BR120" s="341"/>
      <c r="BS120" s="341"/>
      <c r="BT120" s="341"/>
      <c r="BU120" s="341"/>
      <c r="BV120" s="341"/>
      <c r="BW120" s="341"/>
      <c r="BX120" s="341"/>
      <c r="BY120" s="341"/>
      <c r="BZ120" s="341"/>
      <c r="CA120" s="341"/>
      <c r="CB120" s="341"/>
      <c r="CC120" s="341"/>
      <c r="CD120" s="341"/>
      <c r="CE120" s="341"/>
      <c r="CF120" s="341"/>
      <c r="CG120" s="341"/>
      <c r="CH120" s="341"/>
      <c r="CI120" s="341"/>
      <c r="CJ120" s="341"/>
      <c r="CK120" s="341"/>
      <c r="CL120" s="341"/>
      <c r="CM120" s="341"/>
    </row>
    <row r="121" spans="1:91" ht="16.5" customHeight="1" thickBot="1">
      <c r="B121" s="182">
        <v>4</v>
      </c>
      <c r="C121" s="949"/>
      <c r="D121" s="209" t="s">
        <v>85</v>
      </c>
      <c r="E121" s="406"/>
      <c r="F121" s="373"/>
      <c r="G121" s="212">
        <v>8</v>
      </c>
      <c r="H121" s="213"/>
      <c r="I121" s="214">
        <f t="shared" si="236"/>
        <v>0</v>
      </c>
      <c r="J121" s="215" t="e">
        <f>SUMIF('[1]Total 2'!$I:$I,_xlfn.TEXTJOIN(" ",TRUE,'NEW ATD PER TEAM'!$D$117,'NEW ATD PER TEAM'!$D121),'[1]Total 2'!L:L)</f>
        <v>#VALUE!</v>
      </c>
      <c r="K121" s="213" t="e">
        <f>J121*68/40</f>
        <v>#VALUE!</v>
      </c>
      <c r="L121" s="421" t="e">
        <f>SUMIF('[1]Total 2'!$I:$I,_xlfn.TEXTJOIN(" ",TRUE,'NEW ATD PER TEAM'!$D$117,'NEW ATD PER TEAM'!$D121),'[1]Total 2'!O:O)</f>
        <v>#VALUE!</v>
      </c>
      <c r="M121" s="324">
        <f t="shared" si="237"/>
        <v>0</v>
      </c>
      <c r="N121" s="215" t="e">
        <f>J121*68/24</f>
        <v>#VALUE!</v>
      </c>
      <c r="O121" s="325" t="e">
        <f>SUMIF('[1]Total 2'!$I:$I,_xlfn.TEXTJOIN(" ",TRUE,'NEW ATD PER TEAM'!$D$117,'NEW ATD PER TEAM'!$D121),'[1]Total 2'!R:R)</f>
        <v>#VALUE!</v>
      </c>
      <c r="P121" s="216">
        <f t="shared" si="238"/>
        <v>0</v>
      </c>
      <c r="Q121" s="422" t="e">
        <f>J121*68/24</f>
        <v>#VALUE!</v>
      </c>
      <c r="R121" s="423" t="e">
        <f>SUMIF('[1]Total 2'!$I:$I,_xlfn.TEXTJOIN(" ",TRUE,'NEW ATD PER TEAM'!$D$117,'NEW ATD PER TEAM'!$D121),'[1]Total 2'!U:U)</f>
        <v>#VALUE!</v>
      </c>
      <c r="S121" s="424">
        <f t="shared" si="239"/>
        <v>0</v>
      </c>
      <c r="T121" s="326" t="e">
        <f>J121*68/12</f>
        <v>#VALUE!</v>
      </c>
      <c r="U121" s="327" t="e">
        <f>SUMIF('[1]Total 2'!$I:$I,_xlfn.TEXTJOIN(" ",TRUE,'NEW ATD PER TEAM'!$D$117,'NEW ATD PER TEAM'!$D121),'[1]Total 2'!X:X)</f>
        <v>#VALUE!</v>
      </c>
      <c r="V121" s="328">
        <f t="shared" si="240"/>
        <v>0</v>
      </c>
      <c r="W121" s="364" t="e">
        <f>J121*68/12</f>
        <v>#VALUE!</v>
      </c>
      <c r="X121" s="365" t="e">
        <f>SUMIF('[1]Total 2'!$I:$I,_xlfn.TEXTJOIN(" ",TRUE,'NEW ATD PER TEAM'!$D$117,'NEW ATD PER TEAM'!$D121),'[1]Total 2'!AA:AA)</f>
        <v>#VALUE!</v>
      </c>
      <c r="Y121" s="216">
        <f t="shared" si="241"/>
        <v>0</v>
      </c>
      <c r="Z121" s="217" t="e">
        <f>SUMIF('[1]Total 2'!$I:$I,_xlfn.TEXTJOIN(" ",TRUE,'NEW ATD PER TEAM'!$D$117,'NEW ATD PER TEAM'!$D121),'[1]Total 2'!AC:AC)</f>
        <v>#VALUE!</v>
      </c>
      <c r="AA121" s="218" t="e">
        <f>SUMIF('[1]Total 2'!$I:$I,_xlfn.TEXTJOIN(" ",TRUE,'NEW ATD PER TEAM'!$D$117,'NEW ATD PER TEAM'!$D121),'[1]Total 2'!AD:AD)</f>
        <v>#VALUE!</v>
      </c>
      <c r="AB121" s="331"/>
      <c r="AC121" s="398" t="e">
        <f>J121*1854*40</f>
        <v>#VALUE!</v>
      </c>
      <c r="AD121" s="399" t="e">
        <f t="shared" si="243"/>
        <v>#VALUE!</v>
      </c>
      <c r="AE121" s="400" t="str">
        <f t="shared" si="242"/>
        <v/>
      </c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  <c r="BE121" s="341"/>
      <c r="BF121" s="341"/>
      <c r="BG121" s="341"/>
      <c r="BH121" s="341"/>
      <c r="BI121" s="341"/>
      <c r="BJ121" s="341"/>
      <c r="BK121" s="341"/>
      <c r="BL121" s="341"/>
      <c r="BM121" s="341"/>
      <c r="BN121" s="341"/>
      <c r="BO121" s="341"/>
      <c r="BP121" s="341"/>
      <c r="BQ121" s="341"/>
      <c r="BR121" s="341"/>
      <c r="BS121" s="341"/>
      <c r="BT121" s="341"/>
      <c r="BU121" s="341"/>
      <c r="BV121" s="341"/>
      <c r="BW121" s="341"/>
      <c r="BX121" s="341"/>
      <c r="BY121" s="341"/>
      <c r="BZ121" s="341"/>
      <c r="CA121" s="341"/>
      <c r="CB121" s="341"/>
      <c r="CC121" s="341"/>
      <c r="CD121" s="341"/>
      <c r="CE121" s="341"/>
      <c r="CF121" s="341"/>
      <c r="CG121" s="341"/>
      <c r="CH121" s="341"/>
      <c r="CI121" s="341"/>
      <c r="CJ121" s="341"/>
      <c r="CK121" s="341"/>
      <c r="CL121" s="341"/>
      <c r="CM121" s="341"/>
    </row>
    <row r="122" spans="1:91" s="342" customFormat="1" ht="16.2" thickBot="1">
      <c r="A122"/>
      <c r="B122" s="153"/>
      <c r="C122" s="949"/>
      <c r="D122" s="333"/>
      <c r="E122" s="222" t="s">
        <v>70</v>
      </c>
      <c r="F122" s="334"/>
      <c r="G122" s="224">
        <f>SUM(G118:G121)</f>
        <v>32</v>
      </c>
      <c r="H122" s="224">
        <f>SUM(H118:H121)</f>
        <v>7</v>
      </c>
      <c r="I122" s="225">
        <f t="shared" si="236"/>
        <v>0.21875</v>
      </c>
      <c r="J122" s="226" t="e">
        <f>SUM(J118:J121)</f>
        <v>#VALUE!</v>
      </c>
      <c r="K122" s="335" t="e">
        <f t="shared" ref="K122:L122" si="244">SUM(K118:K121)</f>
        <v>#VALUE!</v>
      </c>
      <c r="L122" s="336" t="e">
        <f t="shared" si="244"/>
        <v>#VALUE!</v>
      </c>
      <c r="M122" s="337">
        <f t="shared" si="237"/>
        <v>0</v>
      </c>
      <c r="N122" s="289" t="e">
        <f t="shared" ref="N122:O122" si="245">SUM(N118:N121)</f>
        <v>#VALUE!</v>
      </c>
      <c r="O122" s="290" t="e">
        <f t="shared" si="245"/>
        <v>#VALUE!</v>
      </c>
      <c r="P122" s="291">
        <f t="shared" si="238"/>
        <v>0</v>
      </c>
      <c r="Q122" s="289" t="e">
        <f t="shared" ref="Q122:R122" si="246">SUM(Q118:Q121)</f>
        <v>#VALUE!</v>
      </c>
      <c r="R122" s="290" t="e">
        <f t="shared" si="246"/>
        <v>#VALUE!</v>
      </c>
      <c r="S122" s="291">
        <f t="shared" si="239"/>
        <v>0</v>
      </c>
      <c r="T122" s="338" t="e">
        <f t="shared" ref="T122:U122" si="247">SUM(T118:T121)</f>
        <v>#VALUE!</v>
      </c>
      <c r="U122" s="339" t="e">
        <f t="shared" si="247"/>
        <v>#VALUE!</v>
      </c>
      <c r="V122" s="291">
        <f t="shared" si="240"/>
        <v>0</v>
      </c>
      <c r="W122" s="289" t="e">
        <f t="shared" ref="W122:X122" si="248">SUM(W118:W121)</f>
        <v>#VALUE!</v>
      </c>
      <c r="X122" s="290" t="e">
        <f t="shared" si="248"/>
        <v>#VALUE!</v>
      </c>
      <c r="Y122" s="291">
        <f t="shared" si="241"/>
        <v>0</v>
      </c>
      <c r="Z122" s="234" t="e">
        <f>SUM(Z118:Z121)</f>
        <v>#VALUE!</v>
      </c>
      <c r="AA122" s="234" t="e">
        <f>SUM(AA118:AA121)</f>
        <v>#VALUE!</v>
      </c>
      <c r="AB122" s="340"/>
      <c r="AC122" s="234" t="e">
        <f>SUM(AC118:AC121)</f>
        <v>#VALUE!</v>
      </c>
      <c r="AD122" s="235" t="e">
        <f>SUM(AD118:AD121)</f>
        <v>#VALUE!</v>
      </c>
      <c r="AE122" s="236" t="str">
        <f t="shared" si="242"/>
        <v/>
      </c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  <c r="BE122" s="341"/>
      <c r="BF122" s="341"/>
      <c r="BG122" s="341"/>
      <c r="BH122" s="341"/>
      <c r="BI122" s="341"/>
      <c r="BJ122" s="341"/>
      <c r="BK122" s="341"/>
      <c r="BL122" s="341"/>
      <c r="BM122" s="341"/>
      <c r="BN122" s="341"/>
      <c r="BO122" s="341"/>
      <c r="BP122" s="341"/>
      <c r="BQ122" s="341"/>
      <c r="BR122" s="341"/>
      <c r="BS122" s="341"/>
      <c r="BT122" s="341"/>
      <c r="BU122" s="341"/>
      <c r="BV122" s="341"/>
      <c r="BW122" s="341"/>
      <c r="BX122" s="341"/>
      <c r="BY122" s="341"/>
      <c r="BZ122" s="341"/>
      <c r="CA122" s="341"/>
      <c r="CB122" s="341"/>
      <c r="CC122" s="341"/>
      <c r="CD122" s="341"/>
      <c r="CE122" s="341"/>
      <c r="CF122" s="341"/>
      <c r="CG122" s="341"/>
      <c r="CH122" s="341"/>
      <c r="CI122" s="341"/>
      <c r="CJ122" s="341"/>
      <c r="CK122" s="341"/>
      <c r="CL122" s="341"/>
      <c r="CM122" s="341"/>
    </row>
    <row r="123" spans="1:91" ht="16.5" customHeight="1" thickBot="1">
      <c r="B123" s="182"/>
      <c r="C123" s="948"/>
      <c r="D123" s="170" t="s">
        <v>145</v>
      </c>
      <c r="E123" s="241"/>
      <c r="F123" s="295" t="s">
        <v>146</v>
      </c>
      <c r="G123" s="239"/>
      <c r="H123" s="239"/>
      <c r="I123" s="240"/>
      <c r="J123" s="239"/>
      <c r="K123" s="239"/>
      <c r="L123" s="239"/>
      <c r="M123" s="297"/>
      <c r="N123" s="239"/>
      <c r="O123" s="239"/>
      <c r="P123" s="242"/>
      <c r="Q123" s="241"/>
      <c r="R123" s="241"/>
      <c r="S123" s="242"/>
      <c r="T123" s="241"/>
      <c r="U123" s="241"/>
      <c r="V123" s="240"/>
      <c r="W123" s="298"/>
      <c r="X123" s="298"/>
      <c r="Y123" s="242"/>
      <c r="Z123" s="180"/>
      <c r="AA123" s="180"/>
      <c r="AB123" s="300"/>
      <c r="AC123" s="263"/>
      <c r="AD123" s="263"/>
      <c r="AE123" s="264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  <c r="BE123" s="341"/>
      <c r="BF123" s="341"/>
      <c r="BG123" s="341"/>
      <c r="BH123" s="341"/>
      <c r="BI123" s="341"/>
      <c r="BJ123" s="341"/>
      <c r="BK123" s="341"/>
      <c r="BL123" s="341"/>
      <c r="BM123" s="341"/>
      <c r="BN123" s="341"/>
      <c r="BO123" s="341"/>
      <c r="BP123" s="341"/>
      <c r="BQ123" s="341"/>
      <c r="BR123" s="341"/>
      <c r="BS123" s="341"/>
      <c r="BT123" s="341"/>
      <c r="BU123" s="341"/>
      <c r="BV123" s="341"/>
      <c r="BW123" s="341"/>
      <c r="BX123" s="341"/>
      <c r="BY123" s="341"/>
      <c r="BZ123" s="341"/>
      <c r="CA123" s="341"/>
      <c r="CB123" s="341"/>
      <c r="CC123" s="341"/>
      <c r="CD123" s="341"/>
      <c r="CE123" s="341"/>
      <c r="CF123" s="341"/>
      <c r="CG123" s="341"/>
      <c r="CH123" s="341"/>
      <c r="CI123" s="341"/>
      <c r="CJ123" s="341"/>
      <c r="CK123" s="341"/>
      <c r="CL123" s="341"/>
      <c r="CM123" s="341"/>
    </row>
    <row r="124" spans="1:91" ht="16.5" customHeight="1">
      <c r="B124" s="182">
        <v>1</v>
      </c>
      <c r="C124" s="949"/>
      <c r="D124" s="97" t="s">
        <v>79</v>
      </c>
      <c r="E124" s="265" t="s">
        <v>147</v>
      </c>
      <c r="F124" s="369"/>
      <c r="G124" s="185">
        <v>8</v>
      </c>
      <c r="H124" s="186">
        <v>7</v>
      </c>
      <c r="I124" s="187">
        <f>IFERROR(H124/G124,"")</f>
        <v>0.875</v>
      </c>
      <c r="J124" s="188" t="e">
        <f>SUMIF('[1]Total 2'!$I:$I,_xlfn.TEXTJOIN(" ",TRUE,'NEW ATD PER TEAM'!$D$123,'NEW ATD PER TEAM'!$D124),'[1]Total 2'!L:L)</f>
        <v>#VALUE!</v>
      </c>
      <c r="K124" s="185" t="e">
        <f>J124*68/40</f>
        <v>#VALUE!</v>
      </c>
      <c r="L124" s="188" t="e">
        <f>SUMIF('[1]Total 2'!$I:$I,_xlfn.TEXTJOIN(" ",TRUE,'NEW ATD PER TEAM'!$D$123,'NEW ATD PER TEAM'!$D124),'[1]Total 2'!O:O)</f>
        <v>#VALUE!</v>
      </c>
      <c r="M124" s="425">
        <f>IFERROR(L124/K124,0)</f>
        <v>0</v>
      </c>
      <c r="N124" s="302" t="e">
        <f>J124*68/24</f>
        <v>#VALUE!</v>
      </c>
      <c r="O124" s="184" t="e">
        <f>SUMIF('[1]Total 2'!$I:$I,_xlfn.TEXTJOIN(" ",TRUE,'NEW ATD PER TEAM'!$D$123,'NEW ATD PER TEAM'!$D124),'[1]Total 2'!R:R)</f>
        <v>#VALUE!</v>
      </c>
      <c r="P124" s="426">
        <f>IFERROR(O124/N124,0)</f>
        <v>0</v>
      </c>
      <c r="Q124" s="427" t="e">
        <f>J124*68/24</f>
        <v>#VALUE!</v>
      </c>
      <c r="R124" s="428" t="e">
        <f>SUMIF('[1]Total 2'!$I:$I,_xlfn.TEXTJOIN(" ",TRUE,'NEW ATD PER TEAM'!$D$123,'NEW ATD PER TEAM'!$D124),'[1]Total 2'!U:U)</f>
        <v>#VALUE!</v>
      </c>
      <c r="S124" s="429">
        <f>IFERROR(R124/Q124,0)</f>
        <v>0</v>
      </c>
      <c r="T124" s="427" t="e">
        <f>J124*68/12</f>
        <v>#VALUE!</v>
      </c>
      <c r="U124" s="428" t="e">
        <f>SUMIF('[1]Total 2'!$I:$I,_xlfn.TEXTJOIN(" ",TRUE,'NEW ATD PER TEAM'!$D$123,'NEW ATD PER TEAM'!$D124),'[1]Total 2'!X:X)</f>
        <v>#VALUE!</v>
      </c>
      <c r="V124" s="430">
        <f>IFERROR(U124/T124,0)</f>
        <v>0</v>
      </c>
      <c r="W124" s="431" t="e">
        <f>J124*68/12</f>
        <v>#VALUE!</v>
      </c>
      <c r="X124" s="432" t="e">
        <f>SUMIF('[1]Total 2'!$I:$I,_xlfn.TEXTJOIN(" ",TRUE,'NEW ATD PER TEAM'!$D$123,'NEW ATD PER TEAM'!$D124),'[1]Total 2'!AA:AA)</f>
        <v>#VALUE!</v>
      </c>
      <c r="Y124" s="429">
        <f>IFERROR(X124/W124,0)</f>
        <v>0</v>
      </c>
      <c r="Z124" s="197" t="e">
        <f>SUMIF('[1]Total 2'!$I:$I,_xlfn.TEXTJOIN(" ",TRUE,'NEW ATD PER TEAM'!$D$123,'NEW ATD PER TEAM'!$D124),'[1]Total 2'!AC:AC)</f>
        <v>#VALUE!</v>
      </c>
      <c r="AA124" s="253" t="e">
        <f>SUMIF('[1]Total 2'!$I:$I,_xlfn.TEXTJOIN(" ",TRUE,'NEW ATD PER TEAM'!$D$123,'NEW ATD PER TEAM'!$D124),'[1]Total 2'!AD:AD)</f>
        <v>#VALUE!</v>
      </c>
      <c r="AB124" s="311"/>
      <c r="AC124" s="350" t="e">
        <f>J124*1854*40</f>
        <v>#VALUE!</v>
      </c>
      <c r="AD124" s="351" t="e">
        <f>AA124</f>
        <v>#VALUE!</v>
      </c>
      <c r="AE124" s="352" t="str">
        <f>IFERROR(AD124/AC124,"")</f>
        <v/>
      </c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  <c r="BE124" s="341"/>
      <c r="BF124" s="341"/>
      <c r="BG124" s="341"/>
      <c r="BH124" s="341"/>
      <c r="BI124" s="341"/>
      <c r="BJ124" s="341"/>
      <c r="BK124" s="341"/>
      <c r="BL124" s="341"/>
      <c r="BM124" s="341"/>
      <c r="BN124" s="341"/>
      <c r="BO124" s="341"/>
      <c r="BP124" s="341"/>
      <c r="BQ124" s="341"/>
      <c r="BR124" s="341"/>
      <c r="BS124" s="341"/>
      <c r="BT124" s="341"/>
      <c r="BU124" s="341"/>
      <c r="BV124" s="341"/>
      <c r="BW124" s="341"/>
      <c r="BX124" s="341"/>
      <c r="BY124" s="341"/>
      <c r="BZ124" s="341"/>
      <c r="CA124" s="341"/>
      <c r="CB124" s="341"/>
      <c r="CC124" s="341"/>
      <c r="CD124" s="341"/>
      <c r="CE124" s="341"/>
      <c r="CF124" s="341"/>
      <c r="CG124" s="341"/>
      <c r="CH124" s="341"/>
      <c r="CI124" s="341"/>
      <c r="CJ124" s="341"/>
      <c r="CK124" s="341"/>
      <c r="CL124" s="341"/>
      <c r="CM124" s="341"/>
    </row>
    <row r="125" spans="1:91" ht="16.5" customHeight="1">
      <c r="B125" s="182">
        <v>2</v>
      </c>
      <c r="C125" s="949"/>
      <c r="D125" s="57" t="s">
        <v>81</v>
      </c>
      <c r="E125" s="405"/>
      <c r="F125" s="371"/>
      <c r="G125" s="202">
        <v>8</v>
      </c>
      <c r="H125" s="203"/>
      <c r="I125" s="204">
        <f t="shared" ref="I125:I133" si="249">IFERROR(H125/G125,"")</f>
        <v>0</v>
      </c>
      <c r="J125" s="21" t="e">
        <f>SUMIF('[1]Total 2'!$I:$I,_xlfn.TEXTJOIN(" ",TRUE,'NEW ATD PER TEAM'!$D$123,'NEW ATD PER TEAM'!$D125),'[1]Total 2'!L:L)</f>
        <v>#VALUE!</v>
      </c>
      <c r="K125" s="202" t="e">
        <f>J125*68/40</f>
        <v>#VALUE!</v>
      </c>
      <c r="L125" s="21" t="e">
        <f>SUMIF('[1]Total 2'!$I:$I,_xlfn.TEXTJOIN(" ",TRUE,'NEW ATD PER TEAM'!$D$123,'NEW ATD PER TEAM'!$D125),'[1]Total 2'!O:O)</f>
        <v>#VALUE!</v>
      </c>
      <c r="M125" s="315">
        <f t="shared" ref="M125:M128" si="250">IFERROR(L125/K125,0)</f>
        <v>0</v>
      </c>
      <c r="N125" s="203" t="e">
        <f>J125*68/24</f>
        <v>#VALUE!</v>
      </c>
      <c r="O125" s="316" t="e">
        <f>SUMIF('[1]Total 2'!$I:$I,_xlfn.TEXTJOIN(" ",TRUE,'NEW ATD PER TEAM'!$D$123,'NEW ATD PER TEAM'!$D125),'[1]Total 2'!R:R)</f>
        <v>#VALUE!</v>
      </c>
      <c r="P125" s="433">
        <f t="shared" ref="P125:P128" si="251">IFERROR(O125/N125,0)</f>
        <v>0</v>
      </c>
      <c r="Q125" s="102" t="e">
        <f>J125*68/24</f>
        <v>#VALUE!</v>
      </c>
      <c r="R125" s="103" t="e">
        <f>SUMIF('[1]Total 2'!$I:$I,_xlfn.TEXTJOIN(" ",TRUE,'NEW ATD PER TEAM'!$D$123,'NEW ATD PER TEAM'!$D125),'[1]Total 2'!U:U)</f>
        <v>#VALUE!</v>
      </c>
      <c r="S125" s="205">
        <f t="shared" ref="S125:S128" si="252">IFERROR(R125/Q125,0)</f>
        <v>0</v>
      </c>
      <c r="T125" s="434" t="e">
        <f>J125*68/12</f>
        <v>#VALUE!</v>
      </c>
      <c r="U125" s="318" t="e">
        <f>SUMIF('[1]Total 2'!$I:$I,_xlfn.TEXTJOIN(" ",TRUE,'NEW ATD PER TEAM'!$D$123,'NEW ATD PER TEAM'!$D125),'[1]Total 2'!X:X)</f>
        <v>#VALUE!</v>
      </c>
      <c r="V125" s="319">
        <f t="shared" ref="V125:V128" si="253">IFERROR(U125/T125,0)</f>
        <v>0</v>
      </c>
      <c r="W125" s="435" t="e">
        <f>J125*68/12</f>
        <v>#VALUE!</v>
      </c>
      <c r="X125" s="360" t="e">
        <f>SUMIF('[1]Total 2'!$I:$I,_xlfn.TEXTJOIN(" ",TRUE,'NEW ATD PER TEAM'!$D$123,'NEW ATD PER TEAM'!$D125),'[1]Total 2'!AA:AA)</f>
        <v>#VALUE!</v>
      </c>
      <c r="Y125" s="205">
        <f t="shared" ref="Y125:Y128" si="254">IFERROR(X125/W125,0)</f>
        <v>0</v>
      </c>
      <c r="Z125" s="206" t="e">
        <f>SUMIF('[1]Total 2'!$I:$I,_xlfn.TEXTJOIN(" ",TRUE,'NEW ATD PER TEAM'!$D$123,'NEW ATD PER TEAM'!$D125),'[1]Total 2'!AC:AC)</f>
        <v>#VALUE!</v>
      </c>
      <c r="AA125" s="207" t="e">
        <f>SUMIF('[1]Total 2'!$I:$I,_xlfn.TEXTJOIN(" ",TRUE,'NEW ATD PER TEAM'!$D$123,'NEW ATD PER TEAM'!$D125),'[1]Total 2'!AD:AD)</f>
        <v>#VALUE!</v>
      </c>
      <c r="AB125" s="322"/>
      <c r="AC125" s="356" t="e">
        <f>J125*1854*40</f>
        <v>#VALUE!</v>
      </c>
      <c r="AD125" s="357" t="e">
        <f t="shared" ref="AD125:AD127" si="255">AA125</f>
        <v>#VALUE!</v>
      </c>
      <c r="AE125" s="358" t="str">
        <f t="shared" ref="AE125:AE129" si="256">IFERROR(AD125/AC125,"")</f>
        <v/>
      </c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  <c r="BE125" s="341"/>
      <c r="BF125" s="341"/>
      <c r="BG125" s="341"/>
      <c r="BH125" s="341"/>
      <c r="BI125" s="341"/>
      <c r="BJ125" s="341"/>
      <c r="BK125" s="341"/>
      <c r="BL125" s="341"/>
      <c r="BM125" s="341"/>
      <c r="BN125" s="341"/>
      <c r="BO125" s="341"/>
      <c r="BP125" s="341"/>
      <c r="BQ125" s="341"/>
      <c r="BR125" s="341"/>
      <c r="BS125" s="341"/>
      <c r="BT125" s="341"/>
      <c r="BU125" s="341"/>
      <c r="BV125" s="341"/>
      <c r="BW125" s="341"/>
      <c r="BX125" s="341"/>
      <c r="BY125" s="341"/>
      <c r="BZ125" s="341"/>
      <c r="CA125" s="341"/>
      <c r="CB125" s="341"/>
      <c r="CC125" s="341"/>
      <c r="CD125" s="341"/>
      <c r="CE125" s="341"/>
      <c r="CF125" s="341"/>
      <c r="CG125" s="341"/>
      <c r="CH125" s="341"/>
      <c r="CI125" s="341"/>
      <c r="CJ125" s="341"/>
      <c r="CK125" s="341"/>
      <c r="CL125" s="341"/>
      <c r="CM125" s="341"/>
    </row>
    <row r="126" spans="1:91" ht="16.5" customHeight="1">
      <c r="B126" s="182">
        <v>3</v>
      </c>
      <c r="C126" s="949"/>
      <c r="D126" s="57" t="s">
        <v>83</v>
      </c>
      <c r="E126" s="405"/>
      <c r="F126" s="371"/>
      <c r="G126" s="202">
        <v>8</v>
      </c>
      <c r="H126" s="203"/>
      <c r="I126" s="204">
        <f t="shared" si="249"/>
        <v>0</v>
      </c>
      <c r="J126" s="21" t="e">
        <f>SUMIF('[1]Total 2'!$I:$I,_xlfn.TEXTJOIN(" ",TRUE,'NEW ATD PER TEAM'!$D$123,'NEW ATD PER TEAM'!$D126),'[1]Total 2'!L:L)</f>
        <v>#VALUE!</v>
      </c>
      <c r="K126" s="202" t="e">
        <f>J126*68/40</f>
        <v>#VALUE!</v>
      </c>
      <c r="L126" s="21" t="e">
        <f>SUMIF('[1]Total 2'!$I:$I,_xlfn.TEXTJOIN(" ",TRUE,'NEW ATD PER TEAM'!$D$123,'NEW ATD PER TEAM'!$D126),'[1]Total 2'!O:O)</f>
        <v>#VALUE!</v>
      </c>
      <c r="M126" s="315">
        <f t="shared" si="250"/>
        <v>0</v>
      </c>
      <c r="N126" s="203" t="e">
        <f>J126*68/24</f>
        <v>#VALUE!</v>
      </c>
      <c r="O126" s="316" t="e">
        <f>SUMIF('[1]Total 2'!$I:$I,_xlfn.TEXTJOIN(" ",TRUE,'NEW ATD PER TEAM'!$D$123,'NEW ATD PER TEAM'!$D126),'[1]Total 2'!R:R)</f>
        <v>#VALUE!</v>
      </c>
      <c r="P126" s="433">
        <f t="shared" si="251"/>
        <v>0</v>
      </c>
      <c r="Q126" s="102" t="e">
        <f>J126*68/24</f>
        <v>#VALUE!</v>
      </c>
      <c r="R126" s="103" t="e">
        <f>SUMIF('[1]Total 2'!$I:$I,_xlfn.TEXTJOIN(" ",TRUE,'NEW ATD PER TEAM'!$D$123,'NEW ATD PER TEAM'!$D126),'[1]Total 2'!U:U)</f>
        <v>#VALUE!</v>
      </c>
      <c r="S126" s="205">
        <f t="shared" si="252"/>
        <v>0</v>
      </c>
      <c r="T126" s="434" t="e">
        <f>J126*68/12</f>
        <v>#VALUE!</v>
      </c>
      <c r="U126" s="318" t="e">
        <f>SUMIF('[1]Total 2'!$I:$I,_xlfn.TEXTJOIN(" ",TRUE,'NEW ATD PER TEAM'!$D$123,'NEW ATD PER TEAM'!$D126),'[1]Total 2'!X:X)</f>
        <v>#VALUE!</v>
      </c>
      <c r="V126" s="319">
        <f t="shared" si="253"/>
        <v>0</v>
      </c>
      <c r="W126" s="435" t="e">
        <f>J126*68/12</f>
        <v>#VALUE!</v>
      </c>
      <c r="X126" s="360" t="e">
        <f>SUMIF('[1]Total 2'!$I:$I,_xlfn.TEXTJOIN(" ",TRUE,'NEW ATD PER TEAM'!$D$123,'NEW ATD PER TEAM'!$D126),'[1]Total 2'!AA:AA)</f>
        <v>#VALUE!</v>
      </c>
      <c r="Y126" s="205">
        <f t="shared" si="254"/>
        <v>0</v>
      </c>
      <c r="Z126" s="206" t="e">
        <f>SUMIF('[1]Total 2'!$I:$I,_xlfn.TEXTJOIN(" ",TRUE,'NEW ATD PER TEAM'!$D$123,'NEW ATD PER TEAM'!$D126),'[1]Total 2'!AC:AC)</f>
        <v>#VALUE!</v>
      </c>
      <c r="AA126" s="207" t="e">
        <f>SUMIF('[1]Total 2'!$I:$I,_xlfn.TEXTJOIN(" ",TRUE,'NEW ATD PER TEAM'!$D$123,'NEW ATD PER TEAM'!$D126),'[1]Total 2'!AD:AD)</f>
        <v>#VALUE!</v>
      </c>
      <c r="AB126" s="322"/>
      <c r="AC126" s="356" t="e">
        <f>J126*1854*40</f>
        <v>#VALUE!</v>
      </c>
      <c r="AD126" s="357" t="e">
        <f t="shared" si="255"/>
        <v>#VALUE!</v>
      </c>
      <c r="AE126" s="358" t="str">
        <f t="shared" si="256"/>
        <v/>
      </c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  <c r="BE126" s="341"/>
      <c r="BF126" s="341"/>
      <c r="BG126" s="341"/>
      <c r="BH126" s="341"/>
      <c r="BI126" s="341"/>
      <c r="BJ126" s="341"/>
      <c r="BK126" s="341"/>
      <c r="BL126" s="341"/>
      <c r="BM126" s="341"/>
      <c r="BN126" s="341"/>
      <c r="BO126" s="341"/>
      <c r="BP126" s="341"/>
      <c r="BQ126" s="341"/>
      <c r="BR126" s="341"/>
      <c r="BS126" s="341"/>
      <c r="BT126" s="341"/>
      <c r="BU126" s="341"/>
      <c r="BV126" s="341"/>
      <c r="BW126" s="341"/>
      <c r="BX126" s="341"/>
      <c r="BY126" s="341"/>
      <c r="BZ126" s="341"/>
      <c r="CA126" s="341"/>
      <c r="CB126" s="341"/>
      <c r="CC126" s="341"/>
      <c r="CD126" s="341"/>
      <c r="CE126" s="341"/>
      <c r="CF126" s="341"/>
      <c r="CG126" s="341"/>
      <c r="CH126" s="341"/>
      <c r="CI126" s="341"/>
      <c r="CJ126" s="341"/>
      <c r="CK126" s="341"/>
      <c r="CL126" s="341"/>
      <c r="CM126" s="341"/>
    </row>
    <row r="127" spans="1:91" ht="16.5" customHeight="1" thickBot="1">
      <c r="B127" s="276">
        <v>4</v>
      </c>
      <c r="C127" s="949"/>
      <c r="D127" s="209" t="s">
        <v>85</v>
      </c>
      <c r="E127" s="406"/>
      <c r="F127" s="373"/>
      <c r="G127" s="212">
        <v>8</v>
      </c>
      <c r="H127" s="213"/>
      <c r="I127" s="214">
        <f t="shared" si="249"/>
        <v>0</v>
      </c>
      <c r="J127" s="215" t="e">
        <f>SUMIF('[1]Total 2'!$I:$I,_xlfn.TEXTJOIN(" ",TRUE,'NEW ATD PER TEAM'!$D$123,'NEW ATD PER TEAM'!$D127),'[1]Total 2'!L:L)</f>
        <v>#VALUE!</v>
      </c>
      <c r="K127" s="212" t="e">
        <f>J127*68/40</f>
        <v>#VALUE!</v>
      </c>
      <c r="L127" s="62" t="e">
        <f>SUMIF('[1]Total 2'!$I:$I,_xlfn.TEXTJOIN(" ",TRUE,'NEW ATD PER TEAM'!$D$123,'NEW ATD PER TEAM'!$D127),'[1]Total 2'!O:O)</f>
        <v>#VALUE!</v>
      </c>
      <c r="M127" s="324">
        <f t="shared" si="250"/>
        <v>0</v>
      </c>
      <c r="N127" s="213" t="e">
        <f>J127*68/24</f>
        <v>#VALUE!</v>
      </c>
      <c r="O127" s="325" t="e">
        <f>SUMIF('[1]Total 2'!$I:$I,_xlfn.TEXTJOIN(" ",TRUE,'NEW ATD PER TEAM'!$D$123,'NEW ATD PER TEAM'!$D127),'[1]Total 2'!R:R)</f>
        <v>#VALUE!</v>
      </c>
      <c r="P127" s="436">
        <f t="shared" si="251"/>
        <v>0</v>
      </c>
      <c r="Q127" s="108" t="e">
        <f>J127*68/24</f>
        <v>#VALUE!</v>
      </c>
      <c r="R127" s="110" t="e">
        <f>SUMIF('[1]Total 2'!$I:$I,_xlfn.TEXTJOIN(" ",TRUE,'NEW ATD PER TEAM'!$D$123,'NEW ATD PER TEAM'!$D127),'[1]Total 2'!U:U)</f>
        <v>#VALUE!</v>
      </c>
      <c r="S127" s="216">
        <f t="shared" si="252"/>
        <v>0</v>
      </c>
      <c r="T127" s="437" t="e">
        <f>J127*68/12</f>
        <v>#VALUE!</v>
      </c>
      <c r="U127" s="327" t="e">
        <f>SUMIF('[1]Total 2'!$I:$I,_xlfn.TEXTJOIN(" ",TRUE,'NEW ATD PER TEAM'!$D$123,'NEW ATD PER TEAM'!$D127),'[1]Total 2'!X:X)</f>
        <v>#VALUE!</v>
      </c>
      <c r="V127" s="328">
        <f t="shared" si="253"/>
        <v>0</v>
      </c>
      <c r="W127" s="438" t="e">
        <f>J127*68/12</f>
        <v>#VALUE!</v>
      </c>
      <c r="X127" s="365" t="e">
        <f>SUMIF('[1]Total 2'!$I:$I,_xlfn.TEXTJOIN(" ",TRUE,'NEW ATD PER TEAM'!$D$123,'NEW ATD PER TEAM'!$D127),'[1]Total 2'!AA:AA)</f>
        <v>#VALUE!</v>
      </c>
      <c r="Y127" s="216">
        <f t="shared" si="254"/>
        <v>0</v>
      </c>
      <c r="Z127" s="217" t="e">
        <f>SUMIF('[1]Total 2'!$I:$I,_xlfn.TEXTJOIN(" ",TRUE,'NEW ATD PER TEAM'!$D$123,'NEW ATD PER TEAM'!$D127),'[1]Total 2'!AC:AC)</f>
        <v>#VALUE!</v>
      </c>
      <c r="AA127" s="218" t="e">
        <f>SUMIF('[1]Total 2'!$I:$I,_xlfn.TEXTJOIN(" ",TRUE,'NEW ATD PER TEAM'!$D$123,'NEW ATD PER TEAM'!$D127),'[1]Total 2'!AD:AD)</f>
        <v>#VALUE!</v>
      </c>
      <c r="AB127" s="331"/>
      <c r="AC127" s="398" t="e">
        <f>J127*1854*40</f>
        <v>#VALUE!</v>
      </c>
      <c r="AD127" s="399" t="e">
        <f t="shared" si="255"/>
        <v>#VALUE!</v>
      </c>
      <c r="AE127" s="400" t="str">
        <f t="shared" si="256"/>
        <v/>
      </c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  <c r="BE127" s="341"/>
      <c r="BF127" s="341"/>
      <c r="BG127" s="341"/>
      <c r="BH127" s="341"/>
      <c r="BI127" s="341"/>
      <c r="BJ127" s="341"/>
      <c r="BK127" s="341"/>
      <c r="BL127" s="341"/>
      <c r="BM127" s="341"/>
      <c r="BN127" s="341"/>
      <c r="BO127" s="341"/>
      <c r="BP127" s="341"/>
      <c r="BQ127" s="341"/>
      <c r="BR127" s="341"/>
      <c r="BS127" s="341"/>
      <c r="BT127" s="341"/>
      <c r="BU127" s="341"/>
      <c r="BV127" s="341"/>
      <c r="BW127" s="341"/>
      <c r="BX127" s="341"/>
      <c r="BY127" s="341"/>
      <c r="BZ127" s="341"/>
      <c r="CA127" s="341"/>
      <c r="CB127" s="341"/>
      <c r="CC127" s="341"/>
      <c r="CD127" s="341"/>
      <c r="CE127" s="341"/>
      <c r="CF127" s="341"/>
      <c r="CG127" s="341"/>
      <c r="CH127" s="341"/>
      <c r="CI127" s="341"/>
      <c r="CJ127" s="341"/>
      <c r="CK127" s="341"/>
      <c r="CL127" s="341"/>
      <c r="CM127" s="341"/>
    </row>
    <row r="128" spans="1:91" s="342" customFormat="1" ht="16.2" thickBot="1">
      <c r="A128"/>
      <c r="B128" s="277"/>
      <c r="C128" s="439"/>
      <c r="D128" s="440"/>
      <c r="E128" s="270" t="s">
        <v>70</v>
      </c>
      <c r="F128" s="381"/>
      <c r="G128" s="441">
        <f>SUM(G124:G127)</f>
        <v>32</v>
      </c>
      <c r="H128" s="441">
        <f>SUM(H124:H127)</f>
        <v>7</v>
      </c>
      <c r="I128" s="442">
        <f t="shared" si="249"/>
        <v>0.21875</v>
      </c>
      <c r="J128" s="443" t="e">
        <f>SUM(J124:J127)</f>
        <v>#VALUE!</v>
      </c>
      <c r="K128" s="444" t="e">
        <f t="shared" ref="K128:L128" si="257">SUM(K124:K127)</f>
        <v>#VALUE!</v>
      </c>
      <c r="L128" s="278" t="e">
        <f t="shared" si="257"/>
        <v>#VALUE!</v>
      </c>
      <c r="M128" s="383">
        <f t="shared" si="250"/>
        <v>0</v>
      </c>
      <c r="N128" s="382" t="e">
        <f t="shared" ref="N128:O128" si="258">SUM(N124:N127)</f>
        <v>#VALUE!</v>
      </c>
      <c r="O128" s="385" t="e">
        <f t="shared" si="258"/>
        <v>#VALUE!</v>
      </c>
      <c r="P128" s="445">
        <f t="shared" si="251"/>
        <v>0</v>
      </c>
      <c r="Q128" s="444" t="e">
        <f t="shared" ref="Q128:R128" si="259">SUM(Q124:Q127)</f>
        <v>#VALUE!</v>
      </c>
      <c r="R128" s="385" t="e">
        <f t="shared" si="259"/>
        <v>#VALUE!</v>
      </c>
      <c r="S128" s="236">
        <f t="shared" si="252"/>
        <v>0</v>
      </c>
      <c r="T128" s="446" t="e">
        <f t="shared" ref="T128:U128" si="260">SUM(T124:T127)</f>
        <v>#VALUE!</v>
      </c>
      <c r="U128" s="387" t="e">
        <f t="shared" si="260"/>
        <v>#VALUE!</v>
      </c>
      <c r="V128" s="236">
        <f t="shared" si="253"/>
        <v>0</v>
      </c>
      <c r="W128" s="444" t="e">
        <f t="shared" ref="W128:X128" si="261">SUM(W124:W127)</f>
        <v>#VALUE!</v>
      </c>
      <c r="X128" s="385" t="e">
        <f t="shared" si="261"/>
        <v>#VALUE!</v>
      </c>
      <c r="Y128" s="236">
        <f t="shared" si="254"/>
        <v>0</v>
      </c>
      <c r="Z128" s="234" t="e">
        <f>SUM(Z124:Z127)</f>
        <v>#VALUE!</v>
      </c>
      <c r="AA128" s="234" t="e">
        <f>SUM(AA124:AA127)</f>
        <v>#VALUE!</v>
      </c>
      <c r="AB128" s="340"/>
      <c r="AC128" s="234" t="e">
        <f>SUM(AC124:AC127)</f>
        <v>#VALUE!</v>
      </c>
      <c r="AD128" s="235" t="e">
        <f>SUM(AD124:AD127)</f>
        <v>#VALUE!</v>
      </c>
      <c r="AE128" s="236" t="str">
        <f t="shared" si="256"/>
        <v/>
      </c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  <c r="BE128" s="341"/>
      <c r="BF128" s="341"/>
      <c r="BG128" s="341"/>
      <c r="BH128" s="341"/>
      <c r="BI128" s="341"/>
      <c r="BJ128" s="341"/>
      <c r="BK128" s="341"/>
      <c r="BL128" s="341"/>
      <c r="BM128" s="341"/>
      <c r="BN128" s="341"/>
      <c r="BO128" s="341"/>
      <c r="BP128" s="341"/>
      <c r="BQ128" s="341"/>
      <c r="BR128" s="341"/>
      <c r="BS128" s="341"/>
      <c r="BT128" s="341"/>
      <c r="BU128" s="341"/>
      <c r="BV128" s="341"/>
      <c r="BW128" s="341"/>
      <c r="BX128" s="341"/>
      <c r="BY128" s="341"/>
      <c r="BZ128" s="341"/>
      <c r="CA128" s="341"/>
      <c r="CB128" s="341"/>
      <c r="CC128" s="341"/>
      <c r="CD128" s="341"/>
      <c r="CE128" s="341"/>
      <c r="CF128" s="341"/>
      <c r="CG128" s="341"/>
      <c r="CH128" s="341"/>
      <c r="CI128" s="341"/>
      <c r="CJ128" s="341"/>
      <c r="CK128" s="341"/>
      <c r="CL128" s="341"/>
      <c r="CM128" s="341"/>
    </row>
    <row r="129" spans="2:31" ht="32.25" customHeight="1" thickBot="1">
      <c r="B129" s="444"/>
      <c r="C129" s="384"/>
      <c r="D129" s="384"/>
      <c r="E129" s="384"/>
      <c r="F129" s="385"/>
      <c r="G129" s="447">
        <f>SUM(G128,G122,G116,G110,G104,G98,G92,G86,G80,G74,G68,G62,G56,G50,G44,G38,G32,G26,G20,G14)</f>
        <v>640</v>
      </c>
      <c r="H129" s="447">
        <f>SUM(H128,H122,H116,H110,H104,H98,H92,H86,H80,H74,H68,H62,H56,H50,H44,H38,H32,H26,H20,H14)</f>
        <v>202</v>
      </c>
      <c r="I129" s="448">
        <f t="shared" si="249"/>
        <v>0.31562499999999999</v>
      </c>
      <c r="J129" s="449" t="e">
        <f t="shared" ref="J129:AD129" si="262">SUM(J128,J122,J116,J110,J104,J98,J92,J86,J80,J74,J68,J62,J56,J50,J44,J38,J32,J26,J20,J14)</f>
        <v>#VALUE!</v>
      </c>
      <c r="K129" s="447" t="e">
        <f t="shared" si="262"/>
        <v>#VALUE!</v>
      </c>
      <c r="L129" s="447" t="e">
        <f t="shared" si="262"/>
        <v>#VALUE!</v>
      </c>
      <c r="M129" s="450">
        <f t="shared" si="262"/>
        <v>0</v>
      </c>
      <c r="N129" s="451" t="e">
        <f t="shared" si="262"/>
        <v>#VALUE!</v>
      </c>
      <c r="O129" s="449" t="e">
        <f t="shared" si="262"/>
        <v>#VALUE!</v>
      </c>
      <c r="P129" s="452">
        <f t="shared" si="262"/>
        <v>0</v>
      </c>
      <c r="Q129" s="447" t="e">
        <f t="shared" si="262"/>
        <v>#VALUE!</v>
      </c>
      <c r="R129" s="449" t="e">
        <f t="shared" si="262"/>
        <v>#VALUE!</v>
      </c>
      <c r="S129" s="450">
        <f t="shared" si="262"/>
        <v>0</v>
      </c>
      <c r="T129" s="447" t="e">
        <f t="shared" si="262"/>
        <v>#VALUE!</v>
      </c>
      <c r="U129" s="449" t="e">
        <f t="shared" si="262"/>
        <v>#VALUE!</v>
      </c>
      <c r="V129" s="450">
        <f t="shared" si="262"/>
        <v>0</v>
      </c>
      <c r="W129" s="447" t="e">
        <f t="shared" si="262"/>
        <v>#VALUE!</v>
      </c>
      <c r="X129" s="449" t="e">
        <f t="shared" si="262"/>
        <v>#VALUE!</v>
      </c>
      <c r="Y129" s="450">
        <f t="shared" si="262"/>
        <v>0</v>
      </c>
      <c r="Z129" s="453" t="e">
        <f t="shared" si="262"/>
        <v>#VALUE!</v>
      </c>
      <c r="AA129" s="454" t="e">
        <f t="shared" si="262"/>
        <v>#VALUE!</v>
      </c>
      <c r="AB129" s="455" t="e">
        <f t="shared" si="262"/>
        <v>#VALUE!</v>
      </c>
      <c r="AC129" s="456" t="e">
        <f t="shared" si="262"/>
        <v>#VALUE!</v>
      </c>
      <c r="AD129" s="457" t="e">
        <f t="shared" si="262"/>
        <v>#VALUE!</v>
      </c>
      <c r="AE129" s="458" t="str">
        <f t="shared" si="256"/>
        <v/>
      </c>
    </row>
    <row r="130" spans="2:31">
      <c r="I130" s="42" t="str">
        <f t="shared" si="249"/>
        <v/>
      </c>
    </row>
    <row r="131" spans="2:31">
      <c r="I131" s="42" t="str">
        <f t="shared" si="249"/>
        <v/>
      </c>
    </row>
    <row r="132" spans="2:31">
      <c r="I132" s="42" t="str">
        <f t="shared" si="249"/>
        <v/>
      </c>
    </row>
    <row r="133" spans="2:31">
      <c r="I133" s="42" t="str">
        <f t="shared" si="249"/>
        <v/>
      </c>
    </row>
  </sheetData>
  <mergeCells count="19">
    <mergeCell ref="C39:C73"/>
    <mergeCell ref="C75:C97"/>
    <mergeCell ref="C99:C127"/>
    <mergeCell ref="Z7:AB7"/>
    <mergeCell ref="C8:C37"/>
    <mergeCell ref="AK8:AK13"/>
    <mergeCell ref="AK14:AK20"/>
    <mergeCell ref="AK22:AK25"/>
    <mergeCell ref="AK26:AK31"/>
    <mergeCell ref="B5:Z5"/>
    <mergeCell ref="B6:F6"/>
    <mergeCell ref="K6:Y6"/>
    <mergeCell ref="Z6:AB6"/>
    <mergeCell ref="AJ6:AM6"/>
    <mergeCell ref="K7:M7"/>
    <mergeCell ref="N7:P7"/>
    <mergeCell ref="Q7:S7"/>
    <mergeCell ref="T7:V7"/>
    <mergeCell ref="W7:Y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86A8-848B-4612-83B0-A64C2319D24B}">
  <sheetPr>
    <tabColor theme="7" tint="0.79995117038483843"/>
  </sheetPr>
  <dimension ref="C1:AG88"/>
  <sheetViews>
    <sheetView showGridLines="0" tabSelected="1" zoomScale="40" zoomScaleNormal="40" zoomScaleSheetLayoutView="39" workbookViewId="0">
      <selection activeCell="AE40" sqref="AE24:AE40"/>
    </sheetView>
  </sheetViews>
  <sheetFormatPr defaultColWidth="10.33203125" defaultRowHeight="14.4"/>
  <cols>
    <col min="1" max="1" width="1.5546875" customWidth="1"/>
    <col min="2" max="2" width="0.21875" customWidth="1"/>
    <col min="3" max="3" width="9.109375" customWidth="1"/>
    <col min="4" max="4" width="13.5546875" customWidth="1"/>
    <col min="5" max="5" width="17" bestFit="1" customWidth="1"/>
    <col min="6" max="6" width="23.109375" customWidth="1"/>
    <col min="7" max="7" width="18.44140625" customWidth="1"/>
    <col min="8" max="8" width="17.21875" customWidth="1"/>
    <col min="9" max="9" width="14" style="40" customWidth="1"/>
    <col min="10" max="10" width="12.88671875" style="40" customWidth="1"/>
    <col min="11" max="11" width="15.6640625" style="41" customWidth="1"/>
    <col min="12" max="12" width="21.6640625" style="40" bestFit="1" customWidth="1"/>
    <col min="13" max="13" width="13.5546875" style="40" customWidth="1"/>
    <col min="14" max="14" width="11.5546875" style="40" customWidth="1"/>
    <col min="15" max="19" width="13.5546875" style="40" customWidth="1"/>
    <col min="20" max="20" width="14.109375" customWidth="1"/>
    <col min="21" max="21" width="10.33203125" customWidth="1"/>
    <col min="22" max="22" width="21.21875" style="42" customWidth="1"/>
    <col min="23" max="23" width="20" style="43" customWidth="1"/>
    <col min="24" max="24" width="17.6640625" style="43" customWidth="1"/>
    <col min="25" max="25" width="19.21875" style="43" customWidth="1"/>
    <col min="26" max="26" width="19.44140625" style="43" customWidth="1"/>
    <col min="27" max="27" width="14.21875" style="43" customWidth="1"/>
    <col min="28" max="28" width="13.109375" customWidth="1"/>
    <col min="29" max="29" width="10.33203125" customWidth="1"/>
    <col min="30" max="30" width="13" customWidth="1"/>
    <col min="31" max="31" width="10.33203125" customWidth="1"/>
  </cols>
  <sheetData>
    <row r="1" spans="3:28">
      <c r="C1" s="459"/>
      <c r="D1" s="459"/>
      <c r="E1" s="459"/>
      <c r="F1" s="459"/>
      <c r="G1" s="459"/>
      <c r="H1" s="459"/>
      <c r="I1" s="658"/>
      <c r="J1" s="658"/>
      <c r="K1" s="659"/>
      <c r="L1" s="658"/>
      <c r="M1" s="658"/>
      <c r="N1" s="658"/>
      <c r="O1" s="658"/>
      <c r="P1" s="658"/>
      <c r="Q1" s="658"/>
      <c r="R1" s="658"/>
      <c r="S1" s="658"/>
      <c r="T1" s="459"/>
      <c r="U1" s="459"/>
      <c r="V1" s="660"/>
      <c r="W1" s="661"/>
      <c r="X1" s="661"/>
      <c r="Y1" s="661"/>
      <c r="Z1" s="661"/>
      <c r="AA1" s="661"/>
      <c r="AB1" s="459"/>
    </row>
    <row r="2" spans="3:28">
      <c r="C2" s="459"/>
      <c r="D2" s="459"/>
      <c r="E2" s="459"/>
      <c r="F2" s="459"/>
      <c r="G2" s="459"/>
      <c r="H2" s="459"/>
      <c r="I2" s="658"/>
      <c r="J2" s="658"/>
      <c r="K2" s="659"/>
      <c r="L2" s="658"/>
      <c r="M2" s="658"/>
      <c r="N2" s="658"/>
      <c r="O2" s="658"/>
      <c r="P2" s="658"/>
      <c r="Q2" s="658"/>
      <c r="R2" s="658"/>
      <c r="S2" s="658"/>
      <c r="T2" s="459"/>
      <c r="U2" s="459"/>
      <c r="V2" s="660"/>
      <c r="W2" s="661"/>
      <c r="X2" s="661"/>
      <c r="Y2" s="661"/>
      <c r="Z2" s="661"/>
      <c r="AA2" s="661"/>
      <c r="AB2" s="459"/>
    </row>
    <row r="3" spans="3:28">
      <c r="C3" s="459"/>
      <c r="D3" s="459"/>
      <c r="E3" s="459"/>
      <c r="F3" s="459"/>
      <c r="G3" s="459"/>
      <c r="H3" s="459"/>
      <c r="I3" s="658"/>
      <c r="J3" s="658"/>
      <c r="K3" s="659"/>
      <c r="L3" s="658"/>
      <c r="M3" s="658"/>
      <c r="N3" s="658"/>
      <c r="O3" s="658"/>
      <c r="P3" s="658"/>
      <c r="Q3" s="658"/>
      <c r="R3" s="658"/>
      <c r="S3" s="658"/>
      <c r="T3" s="459"/>
      <c r="U3" s="459"/>
      <c r="V3" s="660"/>
      <c r="W3" s="661"/>
      <c r="X3" s="661"/>
      <c r="Y3" s="661"/>
      <c r="Z3" s="661"/>
      <c r="AA3" s="661"/>
      <c r="AB3" s="459"/>
    </row>
    <row r="4" spans="3:28">
      <c r="C4" s="459"/>
      <c r="D4" s="459"/>
      <c r="E4" s="459"/>
      <c r="F4" s="459"/>
      <c r="G4" s="459"/>
      <c r="H4" s="459"/>
      <c r="I4" s="658"/>
      <c r="J4" s="658"/>
      <c r="K4" s="659"/>
      <c r="L4" s="658"/>
      <c r="M4" s="658"/>
      <c r="N4" s="658"/>
      <c r="O4" s="658"/>
      <c r="P4" s="658"/>
      <c r="Q4" s="658"/>
      <c r="R4" s="658"/>
      <c r="S4" s="658"/>
      <c r="T4" s="459"/>
      <c r="U4" s="459"/>
      <c r="V4" s="660"/>
      <c r="W4" s="661"/>
      <c r="X4" s="661"/>
      <c r="Y4" s="661"/>
      <c r="Z4" s="661"/>
      <c r="AA4" s="661"/>
      <c r="AB4" s="459"/>
    </row>
    <row r="5" spans="3:28">
      <c r="C5" s="459"/>
      <c r="D5" s="459"/>
      <c r="E5" s="459"/>
      <c r="F5" s="459"/>
      <c r="G5" s="459"/>
      <c r="H5" s="459"/>
      <c r="I5" s="658"/>
      <c r="J5" s="658"/>
      <c r="K5" s="659"/>
      <c r="L5" s="658"/>
      <c r="M5" s="658"/>
      <c r="N5" s="658"/>
      <c r="O5" s="658"/>
      <c r="P5" s="658"/>
      <c r="Q5" s="658"/>
      <c r="R5" s="658"/>
      <c r="S5" s="658"/>
      <c r="T5" s="459"/>
      <c r="U5" s="459"/>
      <c r="V5" s="660"/>
      <c r="W5" s="661"/>
      <c r="X5" s="661"/>
      <c r="Y5" s="661"/>
      <c r="Z5" s="661"/>
      <c r="AA5" s="661"/>
      <c r="AB5" s="459"/>
    </row>
    <row r="6" spans="3:28">
      <c r="C6" s="459"/>
      <c r="D6" s="459"/>
      <c r="E6" s="459"/>
      <c r="F6" s="459"/>
      <c r="G6" s="459"/>
      <c r="H6" s="459"/>
      <c r="I6" s="658"/>
      <c r="J6" s="658"/>
      <c r="K6" s="659"/>
      <c r="L6" s="658"/>
      <c r="M6" s="658"/>
      <c r="N6" s="658"/>
      <c r="O6" s="658"/>
      <c r="P6" s="658"/>
      <c r="Q6" s="658"/>
      <c r="R6" s="658"/>
      <c r="S6" s="658"/>
      <c r="T6" s="459"/>
      <c r="U6" s="459"/>
      <c r="V6" s="660"/>
      <c r="W6" s="661"/>
      <c r="X6" s="661"/>
      <c r="Y6" s="661"/>
      <c r="Z6" s="661"/>
      <c r="AA6" s="661"/>
      <c r="AB6" s="459"/>
    </row>
    <row r="7" spans="3:28">
      <c r="C7" s="839" t="s">
        <v>278</v>
      </c>
      <c r="D7" s="839"/>
      <c r="E7" s="839"/>
      <c r="F7" s="839"/>
      <c r="G7" s="839"/>
      <c r="H7" s="839"/>
      <c r="I7" s="839"/>
      <c r="J7" s="839"/>
      <c r="K7" s="839"/>
      <c r="L7" s="839"/>
      <c r="M7" s="839"/>
      <c r="N7" s="839"/>
      <c r="O7" s="839"/>
      <c r="P7" s="839"/>
      <c r="Q7" s="839"/>
      <c r="R7" s="839"/>
      <c r="S7" s="839"/>
      <c r="T7" s="839"/>
      <c r="U7" s="839"/>
      <c r="V7" s="839"/>
      <c r="W7" s="839"/>
      <c r="X7" s="839"/>
      <c r="Y7" s="839"/>
      <c r="Z7" s="839"/>
      <c r="AA7" s="839"/>
      <c r="AB7" s="839"/>
    </row>
    <row r="8" spans="3:28">
      <c r="C8" s="839"/>
      <c r="D8" s="839"/>
      <c r="E8" s="839"/>
      <c r="F8" s="839"/>
      <c r="G8" s="839"/>
      <c r="H8" s="839"/>
      <c r="I8" s="839"/>
      <c r="J8" s="839"/>
      <c r="K8" s="839"/>
      <c r="L8" s="839"/>
      <c r="M8" s="839"/>
      <c r="N8" s="839"/>
      <c r="O8" s="839"/>
      <c r="P8" s="839"/>
      <c r="Q8" s="839"/>
      <c r="R8" s="839"/>
      <c r="S8" s="839"/>
      <c r="T8" s="839"/>
      <c r="U8" s="839"/>
      <c r="V8" s="839"/>
      <c r="W8" s="839"/>
      <c r="X8" s="839"/>
      <c r="Y8" s="839"/>
      <c r="Z8" s="839"/>
      <c r="AA8" s="839"/>
      <c r="AB8" s="839"/>
    </row>
    <row r="9" spans="3:28" ht="15" thickBot="1">
      <c r="C9" s="839"/>
      <c r="D9" s="839"/>
      <c r="E9" s="839"/>
      <c r="F9" s="839"/>
      <c r="G9" s="839"/>
      <c r="H9" s="839"/>
      <c r="I9" s="839"/>
      <c r="J9" s="839"/>
      <c r="K9" s="839"/>
      <c r="L9" s="839"/>
      <c r="M9" s="839"/>
      <c r="N9" s="839"/>
      <c r="O9" s="839"/>
      <c r="P9" s="839"/>
      <c r="Q9" s="839"/>
      <c r="R9" s="839"/>
      <c r="S9" s="839"/>
      <c r="T9" s="839"/>
      <c r="U9" s="839"/>
      <c r="V9" s="839"/>
      <c r="W9" s="839"/>
      <c r="X9" s="839"/>
      <c r="Y9" s="839"/>
      <c r="Z9" s="839"/>
      <c r="AA9" s="839"/>
      <c r="AB9" s="839"/>
    </row>
    <row r="10" spans="3:28" ht="14.4" customHeight="1">
      <c r="C10" s="459"/>
      <c r="D10" s="805" t="s">
        <v>242</v>
      </c>
      <c r="E10" s="806"/>
      <c r="F10" s="806"/>
      <c r="G10" s="806"/>
      <c r="H10" s="806"/>
      <c r="I10" s="806"/>
      <c r="J10" s="807"/>
      <c r="K10" s="778" t="s">
        <v>243</v>
      </c>
      <c r="L10" s="779"/>
      <c r="M10" s="779"/>
      <c r="N10" s="779"/>
      <c r="O10" s="779"/>
      <c r="P10" s="780"/>
      <c r="Q10" s="841" t="s">
        <v>244</v>
      </c>
      <c r="R10" s="842"/>
      <c r="S10" s="842"/>
      <c r="T10" s="842"/>
      <c r="U10" s="842"/>
      <c r="V10" s="842"/>
      <c r="W10" s="842"/>
      <c r="X10" s="842"/>
      <c r="Y10" s="842"/>
      <c r="Z10" s="842"/>
      <c r="AA10" s="843"/>
      <c r="AB10" s="459"/>
    </row>
    <row r="11" spans="3:28" ht="14.4" customHeight="1">
      <c r="C11" s="459"/>
      <c r="D11" s="808"/>
      <c r="E11" s="809"/>
      <c r="F11" s="809"/>
      <c r="G11" s="809"/>
      <c r="H11" s="809"/>
      <c r="I11" s="809"/>
      <c r="J11" s="810"/>
      <c r="K11" s="781"/>
      <c r="L11" s="782"/>
      <c r="M11" s="782"/>
      <c r="N11" s="782"/>
      <c r="O11" s="782"/>
      <c r="P11" s="783"/>
      <c r="Q11" s="844"/>
      <c r="R11" s="845"/>
      <c r="S11" s="845"/>
      <c r="T11" s="845"/>
      <c r="U11" s="845"/>
      <c r="V11" s="845"/>
      <c r="W11" s="845"/>
      <c r="X11" s="845"/>
      <c r="Y11" s="845"/>
      <c r="Z11" s="845"/>
      <c r="AA11" s="846"/>
      <c r="AB11" s="459"/>
    </row>
    <row r="12" spans="3:28" ht="15" customHeight="1" thickBot="1">
      <c r="C12" s="459"/>
      <c r="D12" s="811"/>
      <c r="E12" s="812"/>
      <c r="F12" s="812"/>
      <c r="G12" s="812"/>
      <c r="H12" s="812"/>
      <c r="I12" s="812"/>
      <c r="J12" s="813"/>
      <c r="K12" s="784"/>
      <c r="L12" s="785"/>
      <c r="M12" s="785"/>
      <c r="N12" s="785"/>
      <c r="O12" s="785"/>
      <c r="P12" s="786"/>
      <c r="Q12" s="847"/>
      <c r="R12" s="848"/>
      <c r="S12" s="848"/>
      <c r="T12" s="848"/>
      <c r="U12" s="848"/>
      <c r="V12" s="848"/>
      <c r="W12" s="848"/>
      <c r="X12" s="848"/>
      <c r="Y12" s="848"/>
      <c r="Z12" s="848"/>
      <c r="AA12" s="849"/>
      <c r="AB12" s="459"/>
    </row>
    <row r="13" spans="3:28" ht="14.4" customHeight="1">
      <c r="C13" s="459"/>
      <c r="D13" s="814" t="s">
        <v>22</v>
      </c>
      <c r="E13" s="814"/>
      <c r="F13" s="815"/>
      <c r="G13" s="867" t="s">
        <v>245</v>
      </c>
      <c r="H13" s="815"/>
      <c r="I13" s="828" t="s">
        <v>246</v>
      </c>
      <c r="J13" s="830"/>
      <c r="K13" s="825" t="s">
        <v>247</v>
      </c>
      <c r="L13" s="827"/>
      <c r="M13" s="825" t="s">
        <v>248</v>
      </c>
      <c r="N13" s="827"/>
      <c r="O13" s="825" t="s">
        <v>249</v>
      </c>
      <c r="P13" s="827"/>
      <c r="Q13" s="825" t="s">
        <v>250</v>
      </c>
      <c r="R13" s="826"/>
      <c r="S13" s="826"/>
      <c r="T13" s="827"/>
      <c r="U13" s="825" t="s">
        <v>251</v>
      </c>
      <c r="V13" s="826"/>
      <c r="W13" s="826"/>
      <c r="X13" s="827"/>
      <c r="Y13" s="850" t="s">
        <v>252</v>
      </c>
      <c r="Z13" s="851"/>
      <c r="AA13" s="852"/>
      <c r="AB13" s="459"/>
    </row>
    <row r="14" spans="3:28" ht="14.4" customHeight="1">
      <c r="C14" s="459"/>
      <c r="D14" s="814"/>
      <c r="E14" s="814"/>
      <c r="F14" s="815"/>
      <c r="G14" s="867"/>
      <c r="H14" s="815"/>
      <c r="I14" s="828"/>
      <c r="J14" s="830"/>
      <c r="K14" s="828"/>
      <c r="L14" s="830"/>
      <c r="M14" s="828"/>
      <c r="N14" s="830"/>
      <c r="O14" s="828"/>
      <c r="P14" s="830"/>
      <c r="Q14" s="828"/>
      <c r="R14" s="829"/>
      <c r="S14" s="829"/>
      <c r="T14" s="830"/>
      <c r="U14" s="828"/>
      <c r="V14" s="829"/>
      <c r="W14" s="829"/>
      <c r="X14" s="830"/>
      <c r="Y14" s="853"/>
      <c r="Z14" s="854"/>
      <c r="AA14" s="855"/>
      <c r="AB14" s="459"/>
    </row>
    <row r="15" spans="3:28" ht="15" customHeight="1" thickBot="1">
      <c r="C15" s="459"/>
      <c r="D15" s="814"/>
      <c r="E15" s="814"/>
      <c r="F15" s="815"/>
      <c r="G15" s="868"/>
      <c r="H15" s="869"/>
      <c r="I15" s="831"/>
      <c r="J15" s="833"/>
      <c r="K15" s="831"/>
      <c r="L15" s="833"/>
      <c r="M15" s="831"/>
      <c r="N15" s="833"/>
      <c r="O15" s="831"/>
      <c r="P15" s="833"/>
      <c r="Q15" s="831"/>
      <c r="R15" s="832"/>
      <c r="S15" s="832"/>
      <c r="T15" s="833"/>
      <c r="U15" s="831"/>
      <c r="V15" s="832"/>
      <c r="W15" s="832"/>
      <c r="X15" s="833"/>
      <c r="Y15" s="856"/>
      <c r="Z15" s="857"/>
      <c r="AA15" s="858"/>
      <c r="AB15" s="459"/>
    </row>
    <row r="16" spans="3:28" ht="14.4" customHeight="1">
      <c r="C16" s="459"/>
      <c r="D16" s="816">
        <f>'Overview Dashboard'!I78</f>
        <v>168</v>
      </c>
      <c r="E16" s="817"/>
      <c r="F16" s="818"/>
      <c r="G16" s="825">
        <f>I78</f>
        <v>168</v>
      </c>
      <c r="H16" s="827"/>
      <c r="I16" s="840">
        <f>J78</f>
        <v>1</v>
      </c>
      <c r="J16" s="827"/>
      <c r="K16" s="825">
        <f>S78</f>
        <v>37548</v>
      </c>
      <c r="L16" s="827"/>
      <c r="M16" s="825">
        <f>T78</f>
        <v>23115</v>
      </c>
      <c r="N16" s="827"/>
      <c r="O16" s="840">
        <f>U78</f>
        <v>0.615612016618728</v>
      </c>
      <c r="P16" s="827"/>
      <c r="Q16" s="787">
        <f>Y78</f>
        <v>75096000</v>
      </c>
      <c r="R16" s="788"/>
      <c r="S16" s="788"/>
      <c r="T16" s="789"/>
      <c r="U16" s="787">
        <f>Z78</f>
        <v>43923814.280000001</v>
      </c>
      <c r="V16" s="788"/>
      <c r="W16" s="788"/>
      <c r="X16" s="789"/>
      <c r="Y16" s="796">
        <f>U16/Q16</f>
        <v>0.58490218227335677</v>
      </c>
      <c r="Z16" s="797"/>
      <c r="AA16" s="798"/>
      <c r="AB16" s="459"/>
    </row>
    <row r="17" spans="3:28" ht="14.4" customHeight="1">
      <c r="C17" s="459"/>
      <c r="D17" s="819"/>
      <c r="E17" s="820"/>
      <c r="F17" s="821"/>
      <c r="G17" s="828"/>
      <c r="H17" s="830"/>
      <c r="I17" s="828"/>
      <c r="J17" s="830"/>
      <c r="K17" s="828"/>
      <c r="L17" s="830"/>
      <c r="M17" s="828"/>
      <c r="N17" s="830"/>
      <c r="O17" s="828"/>
      <c r="P17" s="830"/>
      <c r="Q17" s="790"/>
      <c r="R17" s="791"/>
      <c r="S17" s="791"/>
      <c r="T17" s="792"/>
      <c r="U17" s="790"/>
      <c r="V17" s="791"/>
      <c r="W17" s="791"/>
      <c r="X17" s="792"/>
      <c r="Y17" s="799"/>
      <c r="Z17" s="800"/>
      <c r="AA17" s="801"/>
      <c r="AB17" s="459"/>
    </row>
    <row r="18" spans="3:28" ht="15" customHeight="1" thickBot="1">
      <c r="C18" s="459"/>
      <c r="D18" s="822"/>
      <c r="E18" s="823"/>
      <c r="F18" s="824"/>
      <c r="G18" s="831"/>
      <c r="H18" s="833"/>
      <c r="I18" s="831"/>
      <c r="J18" s="833"/>
      <c r="K18" s="831"/>
      <c r="L18" s="833"/>
      <c r="M18" s="831"/>
      <c r="N18" s="833"/>
      <c r="O18" s="831"/>
      <c r="P18" s="833"/>
      <c r="Q18" s="793"/>
      <c r="R18" s="794"/>
      <c r="S18" s="794"/>
      <c r="T18" s="795"/>
      <c r="U18" s="793"/>
      <c r="V18" s="794"/>
      <c r="W18" s="794"/>
      <c r="X18" s="795"/>
      <c r="Y18" s="802"/>
      <c r="Z18" s="803"/>
      <c r="AA18" s="804"/>
      <c r="AB18" s="459"/>
    </row>
    <row r="19" spans="3:28">
      <c r="C19" s="459"/>
      <c r="D19" s="459"/>
      <c r="E19" s="459"/>
      <c r="F19" s="459"/>
      <c r="G19" s="459"/>
      <c r="H19" s="459"/>
      <c r="I19" s="658"/>
      <c r="J19" s="658"/>
      <c r="K19" s="659"/>
      <c r="L19" s="658"/>
      <c r="M19" s="658"/>
      <c r="N19" s="658"/>
      <c r="O19" s="658"/>
      <c r="P19" s="658"/>
      <c r="Q19" s="658"/>
      <c r="R19" s="658"/>
      <c r="S19" s="658"/>
      <c r="T19" s="459"/>
      <c r="U19" s="459"/>
      <c r="V19" s="660"/>
      <c r="W19" s="661"/>
      <c r="X19" s="661"/>
      <c r="Y19" s="661"/>
      <c r="Z19" s="661"/>
      <c r="AA19" s="661"/>
      <c r="AB19" s="459"/>
    </row>
    <row r="20" spans="3:28">
      <c r="C20" s="459"/>
      <c r="D20" s="459"/>
      <c r="E20" s="459"/>
      <c r="F20" s="459"/>
      <c r="G20" s="459"/>
      <c r="H20" s="459"/>
      <c r="I20" s="658"/>
      <c r="J20" s="658"/>
      <c r="K20" s="659"/>
      <c r="L20" s="658"/>
      <c r="M20" s="658"/>
      <c r="N20" s="658"/>
      <c r="O20" s="658"/>
      <c r="P20" s="658"/>
      <c r="Q20" s="658"/>
      <c r="R20" s="658"/>
      <c r="S20" s="658"/>
      <c r="T20" s="459"/>
      <c r="U20" s="459"/>
      <c r="V20" s="660"/>
      <c r="W20" s="661"/>
      <c r="X20" s="661"/>
      <c r="Y20" s="661"/>
      <c r="Z20" s="661"/>
      <c r="AA20" s="661"/>
      <c r="AB20" s="459"/>
    </row>
    <row r="21" spans="3:28">
      <c r="C21" s="459"/>
      <c r="D21" s="459"/>
      <c r="E21" s="459"/>
      <c r="F21" s="459"/>
      <c r="G21" s="459"/>
      <c r="H21" s="459"/>
      <c r="I21" s="658"/>
      <c r="J21" s="658"/>
      <c r="K21" s="659"/>
      <c r="L21" s="658"/>
      <c r="M21" s="658"/>
      <c r="N21" s="658"/>
      <c r="O21" s="658"/>
      <c r="P21" s="658"/>
      <c r="Q21" s="658"/>
      <c r="R21" s="658"/>
      <c r="S21" s="658"/>
      <c r="T21" s="459"/>
      <c r="U21" s="459"/>
      <c r="V21" s="660"/>
      <c r="W21" s="661"/>
      <c r="X21" s="661"/>
      <c r="Y21" s="661"/>
      <c r="Z21" s="661"/>
      <c r="AA21" s="661"/>
      <c r="AB21" s="459"/>
    </row>
    <row r="22" spans="3:28">
      <c r="C22" s="459"/>
      <c r="D22" s="459"/>
      <c r="E22" s="459"/>
      <c r="F22" s="459"/>
      <c r="G22" s="459"/>
      <c r="H22" s="459"/>
      <c r="I22" s="658"/>
      <c r="J22" s="658"/>
      <c r="K22" s="659"/>
      <c r="L22" s="658"/>
      <c r="M22" s="658"/>
      <c r="N22" s="658"/>
      <c r="O22" s="658"/>
      <c r="P22" s="658"/>
      <c r="Q22" s="658"/>
      <c r="R22" s="658"/>
      <c r="S22" s="658"/>
      <c r="T22" s="459"/>
      <c r="U22" s="459"/>
      <c r="V22" s="660"/>
      <c r="W22" s="661"/>
      <c r="X22" s="661"/>
      <c r="Y22" s="661"/>
      <c r="Z22" s="661"/>
      <c r="AA22" s="661"/>
      <c r="AB22" s="459"/>
    </row>
    <row r="23" spans="3:28">
      <c r="C23" s="459"/>
      <c r="D23" s="459"/>
      <c r="E23" s="459"/>
      <c r="F23" s="459"/>
      <c r="G23" s="459"/>
      <c r="H23" s="459"/>
      <c r="I23" s="658"/>
      <c r="J23" s="658"/>
      <c r="K23" s="659"/>
      <c r="L23" s="658"/>
      <c r="M23" s="658"/>
      <c r="N23" s="658"/>
      <c r="O23" s="658"/>
      <c r="P23" s="658"/>
      <c r="Q23" s="658"/>
      <c r="R23" s="658"/>
      <c r="S23" s="658"/>
      <c r="T23" s="459"/>
      <c r="U23" s="459"/>
      <c r="V23" s="660"/>
      <c r="W23" s="661"/>
      <c r="X23" s="661"/>
      <c r="Y23" s="661"/>
      <c r="Z23" s="661"/>
      <c r="AA23" s="661"/>
      <c r="AB23" s="459"/>
    </row>
    <row r="24" spans="3:28">
      <c r="C24" s="459"/>
      <c r="D24" s="459"/>
      <c r="E24" s="459"/>
      <c r="F24" s="459"/>
      <c r="G24" s="459"/>
      <c r="H24" s="459"/>
      <c r="I24" s="658"/>
      <c r="J24" s="658"/>
      <c r="K24" s="659"/>
      <c r="L24" s="658"/>
      <c r="M24" s="658"/>
      <c r="N24" s="658"/>
      <c r="O24" s="658"/>
      <c r="P24" s="658"/>
      <c r="Q24" s="658"/>
      <c r="R24" s="658"/>
      <c r="S24" s="658"/>
      <c r="T24" s="459"/>
      <c r="U24" s="459"/>
      <c r="V24" s="660"/>
      <c r="W24" s="661"/>
      <c r="X24" s="661"/>
      <c r="Y24" s="661"/>
      <c r="Z24" s="661"/>
      <c r="AA24" s="661"/>
      <c r="AB24" s="459"/>
    </row>
    <row r="25" spans="3:28">
      <c r="C25" s="459"/>
      <c r="D25" s="459"/>
      <c r="E25" s="459"/>
      <c r="F25" s="459"/>
      <c r="G25" s="459"/>
      <c r="H25" s="459"/>
      <c r="I25" s="658"/>
      <c r="J25" s="658"/>
      <c r="K25" s="659"/>
      <c r="L25" s="658"/>
      <c r="M25" s="658"/>
      <c r="N25" s="658"/>
      <c r="O25" s="658"/>
      <c r="P25" s="658"/>
      <c r="Q25" s="658"/>
      <c r="R25" s="658"/>
      <c r="S25" s="658"/>
      <c r="T25" s="459"/>
      <c r="U25" s="459"/>
      <c r="V25" s="660"/>
      <c r="W25" s="661"/>
      <c r="X25" s="661"/>
      <c r="Y25" s="661"/>
      <c r="Z25" s="661"/>
      <c r="AA25" s="661"/>
      <c r="AB25" s="459"/>
    </row>
    <row r="26" spans="3:28">
      <c r="C26" s="459"/>
      <c r="D26" s="459"/>
      <c r="E26" s="459"/>
      <c r="F26" s="459"/>
      <c r="G26" s="459"/>
      <c r="H26" s="459"/>
      <c r="I26" s="658"/>
      <c r="J26" s="658"/>
      <c r="K26" s="659"/>
      <c r="L26" s="658"/>
      <c r="M26" s="658"/>
      <c r="N26" s="658"/>
      <c r="O26" s="658"/>
      <c r="P26" s="658"/>
      <c r="Q26" s="658"/>
      <c r="R26" s="658"/>
      <c r="S26" s="658"/>
      <c r="T26" s="459"/>
      <c r="U26" s="459"/>
      <c r="V26" s="660"/>
      <c r="W26" s="661"/>
      <c r="X26" s="661"/>
      <c r="Y26" s="661"/>
      <c r="Z26" s="661"/>
      <c r="AA26" s="661"/>
      <c r="AB26" s="459"/>
    </row>
    <row r="27" spans="3:28">
      <c r="C27" s="459"/>
      <c r="D27" s="459"/>
      <c r="E27" s="459"/>
      <c r="F27" s="459"/>
      <c r="G27" s="459"/>
      <c r="H27" s="459"/>
      <c r="I27" s="658"/>
      <c r="J27" s="658"/>
      <c r="K27" s="659"/>
      <c r="L27" s="658"/>
      <c r="M27" s="658"/>
      <c r="N27" s="658"/>
      <c r="O27" s="658"/>
      <c r="P27" s="658"/>
      <c r="Q27" s="658"/>
      <c r="R27" s="658"/>
      <c r="S27" s="658"/>
      <c r="T27" s="459"/>
      <c r="U27" s="459"/>
      <c r="V27" s="660"/>
      <c r="W27" s="661"/>
      <c r="X27" s="661"/>
      <c r="Y27" s="661"/>
      <c r="Z27" s="661"/>
      <c r="AA27" s="661"/>
      <c r="AB27" s="459"/>
    </row>
    <row r="28" spans="3:28">
      <c r="C28" s="459"/>
      <c r="D28" s="459"/>
      <c r="E28" s="459"/>
      <c r="F28" s="459"/>
      <c r="G28" s="459"/>
      <c r="H28" s="459"/>
      <c r="I28" s="658"/>
      <c r="J28" s="658"/>
      <c r="K28" s="659"/>
      <c r="L28" s="658"/>
      <c r="M28" s="658"/>
      <c r="N28" s="658"/>
      <c r="O28" s="658"/>
      <c r="P28" s="658"/>
      <c r="Q28" s="658"/>
      <c r="R28" s="658"/>
      <c r="S28" s="658"/>
      <c r="T28" s="459"/>
      <c r="U28" s="459"/>
      <c r="V28" s="660"/>
      <c r="W28" s="661"/>
      <c r="X28" s="661"/>
      <c r="Y28" s="661"/>
      <c r="Z28" s="661"/>
      <c r="AA28" s="661"/>
      <c r="AB28" s="459"/>
    </row>
    <row r="29" spans="3:28">
      <c r="C29" s="459"/>
      <c r="D29" s="459"/>
      <c r="E29" s="459"/>
      <c r="F29" s="459"/>
      <c r="G29" s="459"/>
      <c r="H29" s="459"/>
      <c r="I29" s="658"/>
      <c r="J29" s="658"/>
      <c r="K29" s="659"/>
      <c r="L29" s="658"/>
      <c r="M29" s="658"/>
      <c r="N29" s="658"/>
      <c r="O29" s="658"/>
      <c r="P29" s="658"/>
      <c r="Q29" s="658"/>
      <c r="R29" s="658"/>
      <c r="S29" s="658"/>
      <c r="T29" s="459"/>
      <c r="U29" s="459"/>
      <c r="V29" s="660"/>
      <c r="W29" s="661"/>
      <c r="X29" s="661"/>
      <c r="Y29" s="661"/>
      <c r="Z29" s="661"/>
      <c r="AA29" s="661"/>
      <c r="AB29" s="459"/>
    </row>
    <row r="30" spans="3:28">
      <c r="C30" s="459"/>
      <c r="D30" s="459"/>
      <c r="E30" s="459"/>
      <c r="F30" s="459"/>
      <c r="G30" s="459"/>
      <c r="H30" s="459"/>
      <c r="I30" s="658"/>
      <c r="J30" s="658"/>
      <c r="K30" s="659"/>
      <c r="L30" s="658"/>
      <c r="M30" s="658"/>
      <c r="N30" s="658"/>
      <c r="O30" s="658"/>
      <c r="P30" s="658"/>
      <c r="Q30" s="658"/>
      <c r="R30" s="658"/>
      <c r="S30" s="658"/>
      <c r="T30" s="459"/>
      <c r="U30" s="459"/>
      <c r="V30" s="660"/>
      <c r="W30" s="661"/>
      <c r="X30" s="661"/>
      <c r="Y30" s="661"/>
      <c r="Z30" s="661"/>
      <c r="AA30" s="661"/>
      <c r="AB30" s="459"/>
    </row>
    <row r="31" spans="3:28">
      <c r="C31" s="459"/>
      <c r="D31" s="459"/>
      <c r="E31" s="459"/>
      <c r="F31" s="459"/>
      <c r="G31" s="459"/>
      <c r="H31" s="459"/>
      <c r="I31" s="658"/>
      <c r="J31" s="658"/>
      <c r="K31" s="659"/>
      <c r="L31" s="658"/>
      <c r="M31" s="658"/>
      <c r="N31" s="658"/>
      <c r="O31" s="658"/>
      <c r="P31" s="658"/>
      <c r="Q31" s="658"/>
      <c r="R31" s="658"/>
      <c r="S31" s="658"/>
      <c r="T31" s="459"/>
      <c r="U31" s="459"/>
      <c r="V31" s="660"/>
      <c r="W31" s="661"/>
      <c r="X31" s="661"/>
      <c r="Y31" s="661"/>
      <c r="Z31" s="661"/>
      <c r="AA31" s="661"/>
      <c r="AB31" s="459"/>
    </row>
    <row r="32" spans="3:28">
      <c r="C32" s="459"/>
      <c r="D32" s="459"/>
      <c r="E32" s="459"/>
      <c r="F32" s="459"/>
      <c r="G32" s="459"/>
      <c r="H32" s="459"/>
      <c r="I32" s="658"/>
      <c r="J32" s="658"/>
      <c r="K32" s="659"/>
      <c r="L32" s="658"/>
      <c r="M32" s="658"/>
      <c r="N32" s="658"/>
      <c r="O32" s="658"/>
      <c r="P32" s="658"/>
      <c r="Q32" s="658"/>
      <c r="R32" s="658"/>
      <c r="S32" s="658"/>
      <c r="T32" s="459"/>
      <c r="U32" s="459"/>
      <c r="V32" s="660"/>
      <c r="W32" s="661"/>
      <c r="X32" s="661"/>
      <c r="Y32" s="661"/>
      <c r="Z32" s="661"/>
      <c r="AA32" s="661"/>
      <c r="AB32" s="459"/>
    </row>
    <row r="33" spans="3:28">
      <c r="C33" s="459"/>
      <c r="D33" s="459"/>
      <c r="E33" s="459"/>
      <c r="F33" s="459"/>
      <c r="G33" s="459"/>
      <c r="H33" s="459"/>
      <c r="I33" s="658"/>
      <c r="J33" s="658"/>
      <c r="K33" s="659"/>
      <c r="L33" s="658"/>
      <c r="M33" s="658"/>
      <c r="N33" s="658"/>
      <c r="O33" s="658"/>
      <c r="P33" s="658"/>
      <c r="Q33" s="658"/>
      <c r="R33" s="658"/>
      <c r="S33" s="658"/>
      <c r="T33" s="459"/>
      <c r="U33" s="459"/>
      <c r="V33" s="660"/>
      <c r="W33" s="661"/>
      <c r="X33" s="661"/>
      <c r="Y33" s="661"/>
      <c r="Z33" s="661"/>
      <c r="AA33" s="661"/>
      <c r="AB33" s="459"/>
    </row>
    <row r="34" spans="3:28">
      <c r="C34" s="459"/>
      <c r="D34" s="459"/>
      <c r="E34" s="459"/>
      <c r="F34" s="459"/>
      <c r="G34" s="459"/>
      <c r="H34" s="459"/>
      <c r="I34" s="658"/>
      <c r="J34" s="658"/>
      <c r="K34" s="659"/>
      <c r="L34" s="658"/>
      <c r="M34" s="658"/>
      <c r="N34" s="658"/>
      <c r="O34" s="658"/>
      <c r="P34" s="658"/>
      <c r="Q34" s="658"/>
      <c r="R34" s="658"/>
      <c r="S34" s="658"/>
      <c r="T34" s="459"/>
      <c r="U34" s="459"/>
      <c r="V34" s="660"/>
      <c r="W34" s="661"/>
      <c r="X34" s="661"/>
      <c r="Y34" s="661"/>
      <c r="Z34" s="661"/>
      <c r="AA34" s="661"/>
      <c r="AB34" s="459"/>
    </row>
    <row r="35" spans="3:28">
      <c r="C35" s="459"/>
      <c r="D35" s="459"/>
      <c r="E35" s="459"/>
      <c r="F35" s="459"/>
      <c r="G35" s="459"/>
      <c r="H35" s="459"/>
      <c r="I35" s="658"/>
      <c r="J35" s="658"/>
      <c r="K35" s="659"/>
      <c r="L35" s="658"/>
      <c r="M35" s="658"/>
      <c r="N35" s="658"/>
      <c r="O35" s="658"/>
      <c r="P35" s="658"/>
      <c r="Q35" s="658"/>
      <c r="R35" s="658"/>
      <c r="S35" s="658"/>
      <c r="T35" s="459"/>
      <c r="U35" s="459"/>
      <c r="V35" s="660"/>
      <c r="W35" s="661"/>
      <c r="X35" s="661"/>
      <c r="Y35" s="661"/>
      <c r="Z35" s="661"/>
      <c r="AA35" s="661"/>
      <c r="AB35" s="459"/>
    </row>
    <row r="36" spans="3:28">
      <c r="C36" s="459"/>
      <c r="D36" s="459"/>
      <c r="E36" s="459"/>
      <c r="F36" s="459"/>
      <c r="G36" s="459"/>
      <c r="H36" s="459"/>
      <c r="I36" s="658"/>
      <c r="J36" s="658"/>
      <c r="K36" s="659"/>
      <c r="L36" s="658"/>
      <c r="M36" s="658"/>
      <c r="N36" s="658"/>
      <c r="O36" s="658"/>
      <c r="P36" s="658"/>
      <c r="Q36" s="658"/>
      <c r="R36" s="658"/>
      <c r="S36" s="658"/>
      <c r="T36" s="459"/>
      <c r="U36" s="459"/>
      <c r="V36" s="660"/>
      <c r="W36" s="661"/>
      <c r="X36" s="661"/>
      <c r="Y36" s="661"/>
      <c r="Z36" s="661"/>
      <c r="AA36" s="661"/>
      <c r="AB36" s="459"/>
    </row>
    <row r="37" spans="3:28">
      <c r="C37" s="459"/>
      <c r="D37" s="459"/>
      <c r="E37" s="459"/>
      <c r="F37" s="459"/>
      <c r="G37" s="459"/>
      <c r="H37" s="459"/>
      <c r="I37" s="658"/>
      <c r="J37" s="658"/>
      <c r="K37" s="659"/>
      <c r="L37" s="658"/>
      <c r="M37" s="658"/>
      <c r="N37" s="658"/>
      <c r="O37" s="658"/>
      <c r="P37" s="658"/>
      <c r="Q37" s="658"/>
      <c r="R37" s="658"/>
      <c r="S37" s="658"/>
      <c r="T37" s="459"/>
      <c r="U37" s="459"/>
      <c r="V37" s="660"/>
      <c r="W37" s="661"/>
      <c r="X37" s="661"/>
      <c r="Y37" s="661"/>
      <c r="Z37" s="661"/>
      <c r="AA37" s="661"/>
      <c r="AB37" s="459"/>
    </row>
    <row r="38" spans="3:28">
      <c r="C38" s="459"/>
      <c r="D38" s="459"/>
      <c r="E38" s="459"/>
      <c r="F38" s="459"/>
      <c r="G38" s="459"/>
      <c r="H38" s="459"/>
      <c r="I38" s="658"/>
      <c r="J38" s="658"/>
      <c r="K38" s="659"/>
      <c r="L38" s="658"/>
      <c r="M38" s="658"/>
      <c r="N38" s="658"/>
      <c r="O38" s="658"/>
      <c r="P38" s="658"/>
      <c r="Q38" s="658"/>
      <c r="R38" s="658"/>
      <c r="S38" s="658"/>
      <c r="T38" s="459"/>
      <c r="U38" s="459"/>
      <c r="V38" s="660"/>
      <c r="W38" s="661"/>
      <c r="X38" s="661"/>
      <c r="Y38" s="661"/>
      <c r="Z38" s="661"/>
      <c r="AA38" s="661"/>
      <c r="AB38" s="459"/>
    </row>
    <row r="39" spans="3:28">
      <c r="C39" s="459"/>
      <c r="D39" s="459"/>
      <c r="E39" s="459"/>
      <c r="F39" s="459"/>
      <c r="G39" s="459"/>
      <c r="H39" s="459"/>
      <c r="I39" s="658"/>
      <c r="J39" s="658"/>
      <c r="K39" s="659"/>
      <c r="L39" s="658"/>
      <c r="M39" s="658"/>
      <c r="N39" s="658"/>
      <c r="O39" s="658"/>
      <c r="P39" s="658"/>
      <c r="Q39" s="658"/>
      <c r="R39" s="658"/>
      <c r="S39" s="658"/>
      <c r="T39" s="459"/>
      <c r="U39" s="459"/>
      <c r="V39" s="660"/>
      <c r="W39" s="661"/>
      <c r="X39" s="661"/>
      <c r="Y39" s="661"/>
      <c r="Z39" s="661"/>
      <c r="AA39" s="661"/>
      <c r="AB39" s="459"/>
    </row>
    <row r="40" spans="3:28">
      <c r="C40" s="459"/>
      <c r="D40" s="459"/>
      <c r="E40" s="459"/>
      <c r="F40" s="459"/>
      <c r="G40" s="459"/>
      <c r="H40" s="459"/>
      <c r="I40" s="658"/>
      <c r="J40" s="658"/>
      <c r="K40" s="659"/>
      <c r="L40" s="658"/>
      <c r="M40" s="658"/>
      <c r="N40" s="658"/>
      <c r="O40" s="658"/>
      <c r="P40" s="658"/>
      <c r="Q40" s="658"/>
      <c r="R40" s="658"/>
      <c r="S40" s="658"/>
      <c r="T40" s="459"/>
      <c r="U40" s="459"/>
      <c r="V40" s="660"/>
      <c r="W40" s="661"/>
      <c r="X40" s="661"/>
      <c r="Y40" s="661"/>
      <c r="Z40" s="661"/>
      <c r="AA40" s="661"/>
      <c r="AB40" s="459"/>
    </row>
    <row r="41" spans="3:28">
      <c r="C41" s="459"/>
      <c r="D41" s="459"/>
      <c r="E41" s="459"/>
      <c r="F41" s="459"/>
      <c r="G41" s="459"/>
      <c r="H41" s="459"/>
      <c r="I41" s="658"/>
      <c r="J41" s="658"/>
      <c r="K41" s="659"/>
      <c r="L41" s="658"/>
      <c r="M41" s="658"/>
      <c r="N41" s="658"/>
      <c r="O41" s="658"/>
      <c r="P41" s="658"/>
      <c r="Q41" s="658"/>
      <c r="R41" s="658"/>
      <c r="S41" s="658"/>
      <c r="T41" s="459"/>
      <c r="U41" s="459"/>
      <c r="V41" s="660"/>
      <c r="W41" s="661"/>
      <c r="X41" s="661"/>
      <c r="Y41" s="661"/>
      <c r="Z41" s="661"/>
      <c r="AA41" s="661"/>
      <c r="AB41" s="459"/>
    </row>
    <row r="42" spans="3:28">
      <c r="C42" s="459"/>
      <c r="D42" s="459"/>
      <c r="E42" s="459"/>
      <c r="F42" s="459"/>
      <c r="G42" s="459"/>
      <c r="H42" s="459"/>
      <c r="I42" s="658"/>
      <c r="J42" s="658"/>
      <c r="K42" s="659"/>
      <c r="L42" s="658"/>
      <c r="M42" s="658"/>
      <c r="N42" s="658"/>
      <c r="O42" s="658"/>
      <c r="P42" s="658"/>
      <c r="Q42" s="658"/>
      <c r="R42" s="658"/>
      <c r="S42" s="658"/>
      <c r="T42" s="459"/>
      <c r="U42" s="459"/>
      <c r="V42" s="660"/>
      <c r="W42" s="661"/>
      <c r="X42" s="661"/>
      <c r="Y42" s="661"/>
      <c r="Z42" s="661"/>
      <c r="AA42" s="661"/>
      <c r="AB42" s="459"/>
    </row>
    <row r="43" spans="3:28">
      <c r="C43" s="459"/>
      <c r="D43" s="459"/>
      <c r="E43" s="459"/>
      <c r="F43" s="459"/>
      <c r="G43" s="459"/>
      <c r="H43" s="459"/>
      <c r="I43" s="658"/>
      <c r="J43" s="658"/>
      <c r="K43" s="659"/>
      <c r="L43" s="658"/>
      <c r="M43" s="658"/>
      <c r="N43" s="658"/>
      <c r="O43" s="658"/>
      <c r="P43" s="658"/>
      <c r="Q43" s="658"/>
      <c r="R43" s="658"/>
      <c r="S43" s="658"/>
      <c r="T43" s="459"/>
      <c r="U43" s="459"/>
      <c r="V43" s="660"/>
      <c r="W43" s="661"/>
      <c r="X43" s="661"/>
      <c r="Y43" s="661"/>
      <c r="Z43" s="661"/>
      <c r="AA43" s="661"/>
      <c r="AB43" s="459"/>
    </row>
    <row r="44" spans="3:28">
      <c r="C44" s="459"/>
      <c r="D44" s="459"/>
      <c r="E44" s="459"/>
      <c r="F44" s="459"/>
      <c r="G44" s="459"/>
      <c r="H44" s="459"/>
      <c r="I44" s="658"/>
      <c r="J44" s="658"/>
      <c r="K44" s="659"/>
      <c r="L44" s="658"/>
      <c r="M44" s="658"/>
      <c r="N44" s="658"/>
      <c r="O44" s="658"/>
      <c r="P44" s="658"/>
      <c r="Q44" s="658"/>
      <c r="R44" s="658"/>
      <c r="S44" s="658"/>
      <c r="T44" s="459"/>
      <c r="U44" s="459"/>
      <c r="V44" s="660"/>
      <c r="W44" s="661"/>
      <c r="X44" s="661"/>
      <c r="Y44" s="661"/>
      <c r="Z44" s="661"/>
      <c r="AA44" s="661"/>
      <c r="AB44" s="459"/>
    </row>
    <row r="45" spans="3:28">
      <c r="C45" s="459"/>
      <c r="D45" s="459"/>
      <c r="E45" s="459"/>
      <c r="F45" s="459"/>
      <c r="G45" s="459"/>
      <c r="H45" s="459"/>
      <c r="I45" s="658"/>
      <c r="J45" s="658"/>
      <c r="K45" s="659"/>
      <c r="L45" s="658"/>
      <c r="M45" s="658"/>
      <c r="N45" s="658"/>
      <c r="O45" s="658"/>
      <c r="P45" s="658"/>
      <c r="Q45" s="658"/>
      <c r="R45" s="658"/>
      <c r="S45" s="658"/>
      <c r="T45" s="459"/>
      <c r="U45" s="459"/>
      <c r="V45" s="660"/>
      <c r="W45" s="661"/>
      <c r="X45" s="661"/>
      <c r="Y45" s="661"/>
      <c r="Z45" s="661"/>
      <c r="AA45" s="661"/>
      <c r="AB45" s="459"/>
    </row>
    <row r="46" spans="3:28">
      <c r="C46" s="459"/>
      <c r="D46" s="459"/>
      <c r="E46" s="459"/>
      <c r="F46" s="459"/>
      <c r="G46" s="459"/>
      <c r="H46" s="459"/>
      <c r="I46" s="658"/>
      <c r="J46" s="658"/>
      <c r="K46" s="659"/>
      <c r="L46" s="658"/>
      <c r="M46" s="658"/>
      <c r="N46" s="658"/>
      <c r="O46" s="658"/>
      <c r="P46" s="658"/>
      <c r="Q46" s="658"/>
      <c r="R46" s="658"/>
      <c r="S46" s="658"/>
      <c r="T46" s="459"/>
      <c r="U46" s="459"/>
      <c r="V46" s="660"/>
      <c r="W46" s="661"/>
      <c r="X46" s="661"/>
      <c r="Y46" s="661"/>
      <c r="Z46" s="661"/>
      <c r="AA46" s="661"/>
      <c r="AB46" s="459"/>
    </row>
    <row r="47" spans="3:28">
      <c r="C47" s="459"/>
      <c r="D47" s="459"/>
      <c r="E47" s="459"/>
      <c r="F47" s="459"/>
      <c r="G47" s="459"/>
      <c r="H47" s="459"/>
      <c r="I47" s="658"/>
      <c r="J47" s="658"/>
      <c r="K47" s="659"/>
      <c r="L47" s="658"/>
      <c r="M47" s="658"/>
      <c r="N47" s="658"/>
      <c r="O47" s="658"/>
      <c r="P47" s="658"/>
      <c r="Q47" s="658"/>
      <c r="R47" s="658"/>
      <c r="S47" s="658"/>
      <c r="T47" s="459"/>
      <c r="U47" s="459"/>
      <c r="V47" s="660"/>
      <c r="W47" s="661"/>
      <c r="X47" s="661"/>
      <c r="Y47" s="661"/>
      <c r="Z47" s="661"/>
      <c r="AA47" s="661"/>
      <c r="AB47" s="459"/>
    </row>
    <row r="48" spans="3:28">
      <c r="C48" s="459"/>
      <c r="D48" s="459"/>
      <c r="E48" s="459"/>
      <c r="F48" s="459"/>
      <c r="G48" s="459"/>
      <c r="H48" s="459"/>
      <c r="I48" s="658"/>
      <c r="J48" s="658"/>
      <c r="K48" s="659"/>
      <c r="L48" s="658"/>
      <c r="M48" s="658"/>
      <c r="N48" s="658"/>
      <c r="O48" s="658"/>
      <c r="P48" s="658"/>
      <c r="Q48" s="658"/>
      <c r="R48" s="658"/>
      <c r="S48" s="658"/>
      <c r="T48" s="459"/>
      <c r="U48" s="459"/>
      <c r="V48" s="660"/>
      <c r="W48" s="661"/>
      <c r="X48" s="661"/>
      <c r="Y48" s="661"/>
      <c r="Z48" s="661"/>
      <c r="AA48" s="661"/>
      <c r="AB48" s="459"/>
    </row>
    <row r="49" spans="3:33">
      <c r="C49" s="459"/>
      <c r="D49" s="459"/>
      <c r="E49" s="459"/>
      <c r="F49" s="459"/>
      <c r="G49" s="459"/>
      <c r="H49" s="459"/>
      <c r="I49" s="658"/>
      <c r="J49" s="658"/>
      <c r="K49" s="659"/>
      <c r="L49" s="658"/>
      <c r="M49" s="658"/>
      <c r="N49" s="658"/>
      <c r="O49" s="658"/>
      <c r="P49" s="658"/>
      <c r="Q49" s="658"/>
      <c r="R49" s="658"/>
      <c r="S49" s="658"/>
      <c r="T49" s="459"/>
      <c r="U49" s="459"/>
      <c r="V49" s="660"/>
      <c r="W49" s="661"/>
      <c r="X49" s="661"/>
      <c r="Y49" s="661"/>
      <c r="Z49" s="661"/>
      <c r="AA49" s="661"/>
      <c r="AB49" s="459"/>
    </row>
    <row r="50" spans="3:33">
      <c r="C50" s="459"/>
      <c r="D50" s="459"/>
      <c r="E50" s="459"/>
      <c r="F50" s="459"/>
      <c r="G50" s="459"/>
      <c r="H50" s="459"/>
      <c r="I50" s="658"/>
      <c r="J50" s="658"/>
      <c r="K50" s="659"/>
      <c r="L50" s="658"/>
      <c r="M50" s="658"/>
      <c r="N50" s="658"/>
      <c r="O50" s="658"/>
      <c r="P50" s="658"/>
      <c r="Q50" s="658"/>
      <c r="R50" s="658"/>
      <c r="S50" s="658"/>
      <c r="T50" s="459"/>
      <c r="U50" s="459"/>
      <c r="V50" s="660"/>
      <c r="W50" s="661"/>
      <c r="X50" s="661"/>
      <c r="Y50" s="661"/>
      <c r="Z50" s="661"/>
      <c r="AA50" s="661"/>
      <c r="AB50" s="459"/>
    </row>
    <row r="51" spans="3:33">
      <c r="C51" s="459"/>
      <c r="D51" s="459"/>
      <c r="E51" s="459"/>
      <c r="F51" s="459"/>
      <c r="G51" s="459"/>
      <c r="H51" s="459"/>
      <c r="I51" s="658"/>
      <c r="J51" s="658"/>
      <c r="K51" s="659"/>
      <c r="L51" s="658"/>
      <c r="M51" s="658"/>
      <c r="N51" s="658"/>
      <c r="O51" s="658"/>
      <c r="P51" s="658"/>
      <c r="Q51" s="658"/>
      <c r="R51" s="658"/>
      <c r="S51" s="658"/>
      <c r="T51" s="459"/>
      <c r="U51" s="459"/>
      <c r="V51" s="660"/>
      <c r="W51" s="661"/>
      <c r="X51" s="661"/>
      <c r="Y51" s="661"/>
      <c r="Z51" s="661"/>
      <c r="AA51" s="661"/>
      <c r="AB51" s="459"/>
    </row>
    <row r="52" spans="3:33">
      <c r="C52" s="459"/>
      <c r="D52" s="459"/>
      <c r="E52" s="459"/>
      <c r="F52" s="459"/>
      <c r="G52" s="459"/>
      <c r="H52" s="459"/>
      <c r="I52" s="658"/>
      <c r="J52" s="658"/>
      <c r="K52" s="659"/>
      <c r="L52" s="658"/>
      <c r="M52" s="658"/>
      <c r="N52" s="658"/>
      <c r="O52" s="658"/>
      <c r="P52" s="658"/>
      <c r="Q52" s="658"/>
      <c r="R52" s="658"/>
      <c r="S52" s="658"/>
      <c r="T52" s="459"/>
      <c r="U52" s="459"/>
      <c r="V52" s="660"/>
      <c r="W52" s="661"/>
      <c r="X52" s="661"/>
      <c r="Y52" s="661"/>
      <c r="Z52" s="661"/>
      <c r="AA52" s="661"/>
      <c r="AB52" s="459"/>
    </row>
    <row r="53" spans="3:33">
      <c r="C53" s="459"/>
      <c r="D53" s="459"/>
      <c r="E53" s="459"/>
      <c r="F53" s="459"/>
      <c r="G53" s="459"/>
      <c r="H53" s="459"/>
      <c r="I53" s="658"/>
      <c r="J53" s="658"/>
      <c r="K53" s="659"/>
      <c r="L53" s="658"/>
      <c r="M53" s="658"/>
      <c r="N53" s="658"/>
      <c r="O53" s="658"/>
      <c r="P53" s="658"/>
      <c r="Q53" s="658"/>
      <c r="R53" s="658"/>
      <c r="S53" s="658"/>
      <c r="T53" s="459"/>
      <c r="U53" s="459"/>
      <c r="V53" s="660"/>
      <c r="W53" s="661"/>
      <c r="X53" s="661"/>
      <c r="Y53" s="661"/>
      <c r="Z53" s="661"/>
      <c r="AA53" s="661"/>
      <c r="AB53" s="459"/>
    </row>
    <row r="54" spans="3:33">
      <c r="C54" s="667"/>
      <c r="D54" s="667"/>
      <c r="E54" s="667"/>
      <c r="F54" s="667"/>
      <c r="G54" s="667"/>
      <c r="H54" s="667"/>
      <c r="I54" s="668"/>
      <c r="J54" s="668"/>
      <c r="K54" s="669"/>
      <c r="L54" s="668"/>
      <c r="M54" s="668"/>
      <c r="N54" s="668"/>
      <c r="O54" s="668"/>
      <c r="P54" s="668"/>
      <c r="Q54" s="668"/>
      <c r="R54" s="668"/>
      <c r="S54" s="668"/>
      <c r="T54" s="667"/>
      <c r="U54" s="667"/>
      <c r="V54" s="670"/>
      <c r="W54" s="671"/>
      <c r="X54" s="671"/>
      <c r="Y54" s="671"/>
      <c r="Z54" s="671"/>
      <c r="AA54" s="671"/>
      <c r="AB54" s="667"/>
    </row>
    <row r="55" spans="3:33" ht="15" thickBot="1">
      <c r="C55" s="667"/>
      <c r="D55" s="667"/>
      <c r="E55" s="667"/>
      <c r="F55" s="667"/>
      <c r="G55" s="667"/>
      <c r="H55" s="667"/>
      <c r="I55" s="668"/>
      <c r="J55" s="668"/>
      <c r="K55" s="669"/>
      <c r="L55" s="668"/>
      <c r="M55" s="668"/>
      <c r="N55" s="668"/>
      <c r="O55" s="668"/>
      <c r="P55" s="668"/>
      <c r="Q55" s="668"/>
      <c r="R55" s="668"/>
      <c r="S55" s="668"/>
      <c r="T55" s="667"/>
      <c r="U55" s="667"/>
      <c r="V55" s="670"/>
      <c r="W55" s="671"/>
      <c r="X55" s="671"/>
      <c r="Y55" s="671"/>
      <c r="Z55" s="671"/>
      <c r="AA55" s="671"/>
      <c r="AB55" s="667"/>
    </row>
    <row r="56" spans="3:33" hidden="1">
      <c r="C56" s="641"/>
      <c r="D56" s="641"/>
      <c r="E56" s="641"/>
      <c r="F56" s="641"/>
      <c r="G56" s="641"/>
      <c r="H56" s="641"/>
      <c r="I56" s="672"/>
      <c r="J56" s="672"/>
      <c r="K56" s="673"/>
      <c r="L56" s="672"/>
      <c r="M56" s="672"/>
      <c r="N56" s="672"/>
      <c r="O56" s="672"/>
      <c r="P56" s="672"/>
      <c r="Q56" s="672"/>
      <c r="R56" s="672"/>
      <c r="S56" s="672"/>
      <c r="T56" s="641"/>
      <c r="U56" s="641"/>
      <c r="V56" s="674"/>
      <c r="W56" s="675"/>
      <c r="X56" s="675"/>
      <c r="Y56" s="675"/>
      <c r="Z56" s="675"/>
      <c r="AA56" s="675"/>
      <c r="AB56" s="641"/>
    </row>
    <row r="57" spans="3:33" hidden="1">
      <c r="C57" s="641"/>
      <c r="D57" s="641"/>
      <c r="E57" s="641"/>
      <c r="F57" s="641"/>
      <c r="G57" s="641"/>
      <c r="H57" s="641"/>
      <c r="I57" s="672"/>
      <c r="J57" s="672"/>
      <c r="K57" s="676"/>
      <c r="L57" s="586" t="s">
        <v>219</v>
      </c>
      <c r="M57" s="672">
        <v>21</v>
      </c>
      <c r="N57" s="672"/>
      <c r="O57" s="672"/>
      <c r="P57" s="672"/>
      <c r="Q57" s="672"/>
      <c r="R57" s="672"/>
      <c r="S57" s="672"/>
      <c r="T57" s="641"/>
      <c r="U57" s="641"/>
      <c r="V57" s="677"/>
      <c r="W57" s="678"/>
      <c r="X57" s="678"/>
      <c r="Y57" s="678"/>
      <c r="Z57" s="678"/>
      <c r="AA57" s="678"/>
      <c r="AB57" s="641"/>
    </row>
    <row r="58" spans="3:33" hidden="1">
      <c r="C58" s="641"/>
      <c r="D58" s="641"/>
      <c r="E58" s="641"/>
      <c r="F58" s="641"/>
      <c r="G58" s="641"/>
      <c r="H58" s="641"/>
      <c r="I58" s="672"/>
      <c r="J58" s="672"/>
      <c r="K58" s="676"/>
      <c r="L58" s="586" t="s">
        <v>235</v>
      </c>
      <c r="M58" s="672">
        <v>70</v>
      </c>
      <c r="N58" s="672"/>
      <c r="O58" s="672"/>
      <c r="P58" s="672"/>
      <c r="Q58" s="672"/>
      <c r="R58" s="672"/>
      <c r="S58" s="672"/>
      <c r="T58" s="641"/>
      <c r="U58" s="641"/>
      <c r="V58" s="677"/>
      <c r="W58" s="678"/>
      <c r="X58" s="678"/>
      <c r="Y58" s="678"/>
      <c r="Z58" s="678"/>
      <c r="AA58" s="678"/>
      <c r="AB58" s="641"/>
    </row>
    <row r="59" spans="3:33" ht="15" hidden="1" thickBot="1">
      <c r="C59" s="641"/>
      <c r="D59" s="641"/>
      <c r="E59" s="641"/>
      <c r="F59" s="641"/>
      <c r="G59" s="641"/>
      <c r="H59" s="641"/>
      <c r="I59" s="672"/>
      <c r="J59" s="672"/>
      <c r="K59" s="676"/>
      <c r="L59" s="586" t="s">
        <v>253</v>
      </c>
      <c r="M59" s="672">
        <v>12</v>
      </c>
      <c r="N59" s="672"/>
      <c r="O59" s="672"/>
      <c r="P59" s="672"/>
      <c r="Q59" s="672"/>
      <c r="R59" s="672"/>
      <c r="S59" s="672"/>
      <c r="T59" s="641"/>
      <c r="U59" s="641"/>
      <c r="V59" s="677"/>
      <c r="W59" s="678"/>
      <c r="X59" s="678"/>
      <c r="Y59" s="678"/>
      <c r="Z59" s="678"/>
      <c r="AA59" s="678"/>
      <c r="AB59" s="641"/>
    </row>
    <row r="60" spans="3:33" ht="32.4" customHeight="1" thickBot="1">
      <c r="C60" s="754"/>
      <c r="D60" s="755"/>
      <c r="E60" s="755"/>
      <c r="F60" s="755"/>
      <c r="G60" s="755"/>
      <c r="H60" s="834" t="s">
        <v>228</v>
      </c>
      <c r="I60" s="835"/>
      <c r="J60" s="836"/>
      <c r="K60" s="834"/>
      <c r="L60" s="836"/>
      <c r="M60" s="834" t="s">
        <v>234</v>
      </c>
      <c r="N60" s="835"/>
      <c r="O60" s="835"/>
      <c r="P60" s="835"/>
      <c r="Q60" s="835"/>
      <c r="R60" s="836"/>
      <c r="S60" s="834" t="s">
        <v>227</v>
      </c>
      <c r="T60" s="835"/>
      <c r="U60" s="836"/>
      <c r="V60" s="834" t="s">
        <v>3</v>
      </c>
      <c r="W60" s="835"/>
      <c r="X60" s="836"/>
      <c r="Y60" s="834" t="s">
        <v>237</v>
      </c>
      <c r="Z60" s="835"/>
      <c r="AA60" s="836"/>
      <c r="AB60" s="742"/>
    </row>
    <row r="61" spans="3:33" ht="15" thickBot="1">
      <c r="C61" s="761"/>
      <c r="D61" s="763"/>
      <c r="E61" s="763"/>
      <c r="F61" s="763"/>
      <c r="G61" s="765"/>
      <c r="H61" s="767"/>
      <c r="I61" s="769"/>
      <c r="J61" s="771"/>
      <c r="K61" s="837" t="s">
        <v>14</v>
      </c>
      <c r="L61" s="837" t="s">
        <v>15</v>
      </c>
      <c r="M61" s="837" t="s">
        <v>229</v>
      </c>
      <c r="N61" s="837" t="s">
        <v>230</v>
      </c>
      <c r="O61" s="837" t="s">
        <v>231</v>
      </c>
      <c r="P61" s="837" t="s">
        <v>232</v>
      </c>
      <c r="Q61" s="837" t="s">
        <v>241</v>
      </c>
      <c r="R61" s="837" t="s">
        <v>233</v>
      </c>
      <c r="S61" s="883" t="s">
        <v>20</v>
      </c>
      <c r="T61" s="884"/>
      <c r="U61" s="884"/>
      <c r="V61" s="887" t="s">
        <v>3</v>
      </c>
      <c r="W61" s="888"/>
      <c r="X61" s="889"/>
      <c r="Y61" s="876" t="s">
        <v>4</v>
      </c>
      <c r="Z61" s="877"/>
      <c r="AA61" s="878"/>
      <c r="AB61" s="641"/>
      <c r="AG61" s="2"/>
    </row>
    <row r="62" spans="3:33" s="12" customFormat="1" ht="53.1" customHeight="1" thickBot="1">
      <c r="C62" s="837" t="s">
        <v>226</v>
      </c>
      <c r="D62" s="837" t="s">
        <v>6</v>
      </c>
      <c r="E62" s="837" t="s">
        <v>7</v>
      </c>
      <c r="F62" s="837" t="s">
        <v>9</v>
      </c>
      <c r="G62" s="837" t="s">
        <v>10</v>
      </c>
      <c r="H62" s="837" t="s">
        <v>11</v>
      </c>
      <c r="I62" s="837" t="s">
        <v>12</v>
      </c>
      <c r="J62" s="874" t="s">
        <v>13</v>
      </c>
      <c r="K62" s="882"/>
      <c r="L62" s="882"/>
      <c r="M62" s="882"/>
      <c r="N62" s="882"/>
      <c r="O62" s="882"/>
      <c r="P62" s="882"/>
      <c r="Q62" s="882"/>
      <c r="R62" s="882"/>
      <c r="S62" s="885"/>
      <c r="T62" s="886"/>
      <c r="U62" s="886"/>
      <c r="V62" s="890"/>
      <c r="W62" s="891"/>
      <c r="X62" s="892"/>
      <c r="Y62" s="879"/>
      <c r="Z62" s="880"/>
      <c r="AA62" s="881"/>
      <c r="AB62" s="679"/>
      <c r="AC62"/>
      <c r="AG62" s="13"/>
    </row>
    <row r="63" spans="3:33" ht="23.25" customHeight="1" thickBot="1">
      <c r="C63" s="838"/>
      <c r="D63" s="838"/>
      <c r="E63" s="838"/>
      <c r="F63" s="838"/>
      <c r="G63" s="838"/>
      <c r="H63" s="838"/>
      <c r="I63" s="838"/>
      <c r="J63" s="875"/>
      <c r="K63" s="838"/>
      <c r="L63" s="838"/>
      <c r="M63" s="838"/>
      <c r="N63" s="838"/>
      <c r="O63" s="838"/>
      <c r="P63" s="838"/>
      <c r="Q63" s="838"/>
      <c r="R63" s="838"/>
      <c r="S63" s="626" t="s">
        <v>22</v>
      </c>
      <c r="T63" s="626" t="s">
        <v>23</v>
      </c>
      <c r="U63" s="628" t="s">
        <v>13</v>
      </c>
      <c r="V63" s="617" t="s">
        <v>24</v>
      </c>
      <c r="W63" s="616" t="s">
        <v>25</v>
      </c>
      <c r="X63" s="622" t="s">
        <v>26</v>
      </c>
      <c r="Y63" s="617" t="s">
        <v>27</v>
      </c>
      <c r="Z63" s="616" t="s">
        <v>28</v>
      </c>
      <c r="AA63" s="618" t="s">
        <v>29</v>
      </c>
      <c r="AB63" s="641"/>
      <c r="AG63" s="17"/>
    </row>
    <row r="64" spans="3:33" ht="15.75" customHeight="1">
      <c r="C64" s="762">
        <v>1</v>
      </c>
      <c r="D64" s="764" t="s">
        <v>30</v>
      </c>
      <c r="E64" s="764" t="s">
        <v>276</v>
      </c>
      <c r="F64" s="692" t="s">
        <v>207</v>
      </c>
      <c r="G64" s="766">
        <v>46247</v>
      </c>
      <c r="H64" s="768">
        <v>12</v>
      </c>
      <c r="I64" s="770">
        <v>12</v>
      </c>
      <c r="J64" s="772">
        <f t="shared" ref="J64:J77" si="0">IFERROR(I64/H64,0)</f>
        <v>1</v>
      </c>
      <c r="K64" s="685">
        <f>SUMIF(Total!G:G,'Overview Dashboard'!E64,Total!K:K)</f>
        <v>84</v>
      </c>
      <c r="L64" s="686">
        <f>SUMIF(Total!G:G,'Overview Dashboard'!E64,Total!M:M)</f>
        <v>7</v>
      </c>
      <c r="M64" s="759">
        <f>$M$58*$M$59*L64</f>
        <v>5880</v>
      </c>
      <c r="N64" s="760">
        <f>SUMIF(Total!G:G,'Overview Dashboard'!E64,Total!N:N)</f>
        <v>5880</v>
      </c>
      <c r="O64" s="773">
        <f>IFERROR(N64/M64,0)</f>
        <v>1</v>
      </c>
      <c r="P64" s="760">
        <f>SUMIF(Total!G:G,'Overview Dashboard'!E64,Total!Q:Q)</f>
        <v>447</v>
      </c>
      <c r="Q64" s="690">
        <f>$M$57*$M$59*L64</f>
        <v>1764</v>
      </c>
      <c r="R64" s="774">
        <f>IFERROR(P64/Q64,0)</f>
        <v>0.25340136054421769</v>
      </c>
      <c r="S64" s="690">
        <f t="shared" ref="S64:S77" si="1">H64*L64*$M$57</f>
        <v>1764</v>
      </c>
      <c r="T64" s="692">
        <f>SUMIF(Total!G:G,'Overview Dashboard'!E64,Total!Q:Q)</f>
        <v>447</v>
      </c>
      <c r="U64" s="693">
        <f t="shared" ref="U64:U77" si="2">IFERROR(T64/S64,0)</f>
        <v>0.25340136054421769</v>
      </c>
      <c r="V64" s="694">
        <f>T64*2000</f>
        <v>894000</v>
      </c>
      <c r="W64" s="695">
        <f>SUMIF(Total!G:G,'Overview Dashboard'!E64,Total!T:T)</f>
        <v>844852.28</v>
      </c>
      <c r="X64" s="696">
        <f>V64-W64</f>
        <v>49147.719999999972</v>
      </c>
      <c r="Y64" s="694">
        <f t="shared" ref="Y64:Y77" si="3">H64*L64*2000*21</f>
        <v>3528000</v>
      </c>
      <c r="Z64" s="695">
        <f>W64</f>
        <v>844852.28</v>
      </c>
      <c r="AA64" s="697">
        <f t="shared" ref="AA64:AA78" si="4">IFERROR(Z64/Y64,0)</f>
        <v>0.23947060090702948</v>
      </c>
      <c r="AB64" s="641"/>
      <c r="AC64" s="26"/>
      <c r="AG64" s="17"/>
    </row>
    <row r="65" spans="3:30" ht="15.75" customHeight="1">
      <c r="C65" s="680">
        <v>2</v>
      </c>
      <c r="D65" s="640" t="s">
        <v>30</v>
      </c>
      <c r="E65" s="640" t="s">
        <v>36</v>
      </c>
      <c r="F65" s="745" t="s">
        <v>207</v>
      </c>
      <c r="G65" s="681">
        <v>46248</v>
      </c>
      <c r="H65" s="682">
        <v>12</v>
      </c>
      <c r="I65" s="683">
        <v>12</v>
      </c>
      <c r="J65" s="684">
        <f t="shared" si="0"/>
        <v>1</v>
      </c>
      <c r="K65" s="698">
        <f>SUMIF(Total!G:G,'Overview Dashboard'!E65,Total!K:K)</f>
        <v>120</v>
      </c>
      <c r="L65" s="699">
        <f>SUMIF(Total!G:G,'Overview Dashboard'!E65,Total!M:M)</f>
        <v>10</v>
      </c>
      <c r="M65" s="687">
        <f t="shared" ref="M65:M77" si="5">$M$58*$M$59*L65</f>
        <v>8400</v>
      </c>
      <c r="N65" s="688">
        <f>SUMIF(Total!G:G,'Overview Dashboard'!E65,Total!N:N)</f>
        <v>8400</v>
      </c>
      <c r="O65" s="689">
        <f t="shared" ref="O65:O77" si="6">IFERROR(N65/M65,0)</f>
        <v>1</v>
      </c>
      <c r="P65" s="688">
        <f>SUMIF(Total!G:G,'Overview Dashboard'!E65,Total!Q:Q)</f>
        <v>1477</v>
      </c>
      <c r="Q65" s="690">
        <f t="shared" ref="Q65:Q77" si="7">$M$57*$M$59*L65</f>
        <v>2520</v>
      </c>
      <c r="R65" s="691">
        <f t="shared" ref="R65:R77" si="8">IFERROR(P65/Q65,0)</f>
        <v>0.58611111111111114</v>
      </c>
      <c r="S65" s="700">
        <f t="shared" si="1"/>
        <v>2520</v>
      </c>
      <c r="T65" s="692">
        <f>SUMIF(Total!G:G,'Overview Dashboard'!E65,Total!Q:Q)</f>
        <v>1477</v>
      </c>
      <c r="U65" s="701">
        <f t="shared" si="2"/>
        <v>0.58611111111111114</v>
      </c>
      <c r="V65" s="694">
        <f t="shared" ref="V65:V77" si="9">T65*2000</f>
        <v>2954000</v>
      </c>
      <c r="W65" s="695">
        <f>SUMIF(Total!G:G,'Overview Dashboard'!E65,Total!T:T)</f>
        <v>2792792</v>
      </c>
      <c r="X65" s="696">
        <f t="shared" ref="X65:X77" si="10">V65-W65</f>
        <v>161208</v>
      </c>
      <c r="Y65" s="694">
        <f t="shared" si="3"/>
        <v>5040000</v>
      </c>
      <c r="Z65" s="695">
        <f t="shared" ref="Z65:Z77" si="11">W65</f>
        <v>2792792</v>
      </c>
      <c r="AA65" s="697">
        <f t="shared" si="4"/>
        <v>0.55412539682539685</v>
      </c>
      <c r="AB65" s="641"/>
    </row>
    <row r="66" spans="3:30" ht="15.75" customHeight="1">
      <c r="C66" s="680">
        <v>3</v>
      </c>
      <c r="D66" s="640" t="s">
        <v>30</v>
      </c>
      <c r="E66" s="640" t="s">
        <v>38</v>
      </c>
      <c r="F66" s="643" t="s">
        <v>207</v>
      </c>
      <c r="G66" s="681">
        <v>46247</v>
      </c>
      <c r="H66" s="682">
        <v>12</v>
      </c>
      <c r="I66" s="683">
        <v>12</v>
      </c>
      <c r="J66" s="684">
        <f t="shared" si="0"/>
        <v>1</v>
      </c>
      <c r="K66" s="698">
        <f>SUMIF(Total!G:G,'Overview Dashboard'!E66,Total!K:K)</f>
        <v>108</v>
      </c>
      <c r="L66" s="699">
        <f>SUMIF(Total!G:G,'Overview Dashboard'!E66,Total!M:M)</f>
        <v>9</v>
      </c>
      <c r="M66" s="687">
        <f t="shared" si="5"/>
        <v>7560</v>
      </c>
      <c r="N66" s="688">
        <f>SUMIF(Total!G:G,'Overview Dashboard'!E66,Total!N:N)</f>
        <v>7560</v>
      </c>
      <c r="O66" s="689">
        <f t="shared" si="6"/>
        <v>1</v>
      </c>
      <c r="P66" s="688">
        <f>SUMIF(Total!G:G,'Overview Dashboard'!E66,Total!Q:Q)</f>
        <v>674</v>
      </c>
      <c r="Q66" s="690">
        <f t="shared" si="7"/>
        <v>2268</v>
      </c>
      <c r="R66" s="691">
        <f t="shared" si="8"/>
        <v>0.29717813051146386</v>
      </c>
      <c r="S66" s="700">
        <f t="shared" si="1"/>
        <v>2268</v>
      </c>
      <c r="T66" s="692">
        <f>SUMIF(Total!G:G,'Overview Dashboard'!E66,Total!Q:Q)</f>
        <v>674</v>
      </c>
      <c r="U66" s="701">
        <f t="shared" si="2"/>
        <v>0.29717813051146386</v>
      </c>
      <c r="V66" s="694">
        <f t="shared" si="9"/>
        <v>1348000</v>
      </c>
      <c r="W66" s="695">
        <f>SUMIF(Total!G:G,'Overview Dashboard'!E66,Total!T:T)</f>
        <v>1272512</v>
      </c>
      <c r="X66" s="696">
        <f t="shared" si="10"/>
        <v>75488</v>
      </c>
      <c r="Y66" s="694">
        <f t="shared" si="3"/>
        <v>4536000</v>
      </c>
      <c r="Z66" s="695">
        <f t="shared" si="11"/>
        <v>1272512</v>
      </c>
      <c r="AA66" s="697">
        <f t="shared" si="4"/>
        <v>0.28053615520282188</v>
      </c>
      <c r="AB66" s="641"/>
    </row>
    <row r="67" spans="3:30" ht="15.75" customHeight="1">
      <c r="C67" s="680">
        <v>4</v>
      </c>
      <c r="D67" s="640" t="s">
        <v>30</v>
      </c>
      <c r="E67" s="640" t="s">
        <v>39</v>
      </c>
      <c r="F67" s="756" t="s">
        <v>207</v>
      </c>
      <c r="G67" s="681">
        <v>46251</v>
      </c>
      <c r="H67" s="682">
        <v>12</v>
      </c>
      <c r="I67" s="683">
        <v>12</v>
      </c>
      <c r="J67" s="684">
        <f t="shared" si="0"/>
        <v>1</v>
      </c>
      <c r="K67" s="698">
        <f>SUMIF(Total!G:G,'Overview Dashboard'!E67,Total!K:K)</f>
        <v>192</v>
      </c>
      <c r="L67" s="699">
        <f>SUMIF(Total!G:G,'Overview Dashboard'!E67,Total!M:M)</f>
        <v>16</v>
      </c>
      <c r="M67" s="687">
        <f t="shared" si="5"/>
        <v>13440</v>
      </c>
      <c r="N67" s="688">
        <f>SUMIF(Total!G:G,'Overview Dashboard'!E67,Total!N:N)</f>
        <v>13440</v>
      </c>
      <c r="O67" s="689">
        <f t="shared" si="6"/>
        <v>1</v>
      </c>
      <c r="P67" s="688">
        <f>SUMIF(Total!G:G,'Overview Dashboard'!E67,Total!Q:Q)</f>
        <v>3399</v>
      </c>
      <c r="Q67" s="690">
        <f t="shared" si="7"/>
        <v>4032</v>
      </c>
      <c r="R67" s="691">
        <f t="shared" si="8"/>
        <v>0.84300595238095233</v>
      </c>
      <c r="S67" s="700">
        <f t="shared" si="1"/>
        <v>4032</v>
      </c>
      <c r="T67" s="692">
        <f>SUMIF(Total!G:G,'Overview Dashboard'!E67,Total!Q:Q)</f>
        <v>3399</v>
      </c>
      <c r="U67" s="701">
        <f t="shared" si="2"/>
        <v>0.84300595238095233</v>
      </c>
      <c r="V67" s="694">
        <f t="shared" si="9"/>
        <v>6798000</v>
      </c>
      <c r="W67" s="695">
        <f>SUMIF(Total!G:G,'Overview Dashboard'!E67,Total!T:T)</f>
        <v>6476896</v>
      </c>
      <c r="X67" s="696">
        <f t="shared" si="10"/>
        <v>321104</v>
      </c>
      <c r="Y67" s="694">
        <f t="shared" si="3"/>
        <v>8064000</v>
      </c>
      <c r="Z67" s="695">
        <f t="shared" si="11"/>
        <v>6476896</v>
      </c>
      <c r="AA67" s="697">
        <f t="shared" si="4"/>
        <v>0.80318650793650792</v>
      </c>
      <c r="AB67" s="641"/>
    </row>
    <row r="68" spans="3:30" ht="15.75" customHeight="1">
      <c r="C68" s="680">
        <v>5</v>
      </c>
      <c r="D68" s="640" t="s">
        <v>41</v>
      </c>
      <c r="E68" s="640" t="s">
        <v>42</v>
      </c>
      <c r="F68" s="745" t="s">
        <v>205</v>
      </c>
      <c r="G68" s="681">
        <v>46245</v>
      </c>
      <c r="H68" s="682">
        <v>12</v>
      </c>
      <c r="I68" s="683">
        <v>12</v>
      </c>
      <c r="J68" s="684">
        <f t="shared" si="0"/>
        <v>1</v>
      </c>
      <c r="K68" s="698">
        <f>SUMIF(Total!G:G,'Overview Dashboard'!E68,Total!K:K)</f>
        <v>12</v>
      </c>
      <c r="L68" s="699">
        <f>SUMIF(Total!G:G,'Overview Dashboard'!E68,Total!M:M)</f>
        <v>1</v>
      </c>
      <c r="M68" s="687">
        <f t="shared" si="5"/>
        <v>840</v>
      </c>
      <c r="N68" s="688">
        <f>SUMIF(Total!G:G,'Overview Dashboard'!E68,Total!N:N)</f>
        <v>840</v>
      </c>
      <c r="O68" s="689">
        <f t="shared" si="6"/>
        <v>1</v>
      </c>
      <c r="P68" s="688">
        <f>SUMIF(Total!G:G,'Overview Dashboard'!E68,Total!Q:Q)</f>
        <v>53</v>
      </c>
      <c r="Q68" s="690">
        <f t="shared" si="7"/>
        <v>252</v>
      </c>
      <c r="R68" s="691">
        <f t="shared" si="8"/>
        <v>0.21031746031746032</v>
      </c>
      <c r="S68" s="700">
        <f t="shared" si="1"/>
        <v>252</v>
      </c>
      <c r="T68" s="692">
        <f>SUMIF(Total!G:G,'Overview Dashboard'!E68,Total!Q:Q)</f>
        <v>53</v>
      </c>
      <c r="U68" s="701">
        <f t="shared" si="2"/>
        <v>0.21031746031746032</v>
      </c>
      <c r="V68" s="694">
        <f t="shared" si="9"/>
        <v>106000</v>
      </c>
      <c r="W68" s="695">
        <f>SUMIF(Total!G:G,'Overview Dashboard'!E68,Total!T:T)</f>
        <v>100064</v>
      </c>
      <c r="X68" s="696">
        <f t="shared" si="10"/>
        <v>5936</v>
      </c>
      <c r="Y68" s="694">
        <f t="shared" si="3"/>
        <v>504000</v>
      </c>
      <c r="Z68" s="695">
        <f t="shared" si="11"/>
        <v>100064</v>
      </c>
      <c r="AA68" s="697">
        <f t="shared" si="4"/>
        <v>0.19853968253968254</v>
      </c>
      <c r="AB68" s="641"/>
    </row>
    <row r="69" spans="3:30" ht="15.75" customHeight="1">
      <c r="C69" s="680">
        <v>6</v>
      </c>
      <c r="D69" s="640" t="s">
        <v>41</v>
      </c>
      <c r="E69" s="640" t="s">
        <v>44</v>
      </c>
      <c r="F69" s="745" t="s">
        <v>205</v>
      </c>
      <c r="G69" s="681">
        <v>46248</v>
      </c>
      <c r="H69" s="682">
        <v>12</v>
      </c>
      <c r="I69" s="683">
        <v>12</v>
      </c>
      <c r="J69" s="684">
        <f t="shared" si="0"/>
        <v>1</v>
      </c>
      <c r="K69" s="698">
        <f>SUMIF(Total!G:G,'Overview Dashboard'!E69,Total!K:K)</f>
        <v>168</v>
      </c>
      <c r="L69" s="699">
        <f>SUMIF(Total!G:G,'Overview Dashboard'!E69,Total!M:M)</f>
        <v>14</v>
      </c>
      <c r="M69" s="687">
        <f t="shared" si="5"/>
        <v>11760</v>
      </c>
      <c r="N69" s="688">
        <f>SUMIF(Total!G:G,'Overview Dashboard'!E69,Total!N:N)</f>
        <v>11760</v>
      </c>
      <c r="O69" s="689">
        <f t="shared" si="6"/>
        <v>1</v>
      </c>
      <c r="P69" s="688">
        <f>SUMIF(Total!G:G,'Overview Dashboard'!E69,Total!Q:Q)</f>
        <v>2337</v>
      </c>
      <c r="Q69" s="690">
        <f t="shared" si="7"/>
        <v>3528</v>
      </c>
      <c r="R69" s="691">
        <f t="shared" si="8"/>
        <v>0.6624149659863946</v>
      </c>
      <c r="S69" s="700">
        <f t="shared" si="1"/>
        <v>3528</v>
      </c>
      <c r="T69" s="692">
        <f>SUMIF(Total!G:G,'Overview Dashboard'!E69,Total!Q:Q)</f>
        <v>2337</v>
      </c>
      <c r="U69" s="701">
        <f t="shared" si="2"/>
        <v>0.6624149659863946</v>
      </c>
      <c r="V69" s="694">
        <f t="shared" si="9"/>
        <v>4674000</v>
      </c>
      <c r="W69" s="695">
        <f>SUMIF(Total!G:G,'Overview Dashboard'!E69,Total!T:T)</f>
        <v>4440480</v>
      </c>
      <c r="X69" s="696">
        <f t="shared" si="10"/>
        <v>233520</v>
      </c>
      <c r="Y69" s="694">
        <f t="shared" si="3"/>
        <v>7056000</v>
      </c>
      <c r="Z69" s="695">
        <f t="shared" si="11"/>
        <v>4440480</v>
      </c>
      <c r="AA69" s="697">
        <f t="shared" si="4"/>
        <v>0.62931972789115642</v>
      </c>
      <c r="AB69" s="641"/>
    </row>
    <row r="70" spans="3:30" ht="15.75" customHeight="1">
      <c r="C70" s="680">
        <v>7</v>
      </c>
      <c r="D70" s="640" t="s">
        <v>41</v>
      </c>
      <c r="E70" s="640" t="s">
        <v>47</v>
      </c>
      <c r="F70" s="745" t="s">
        <v>205</v>
      </c>
      <c r="G70" s="681">
        <v>46248</v>
      </c>
      <c r="H70" s="682">
        <v>12</v>
      </c>
      <c r="I70" s="683">
        <v>12</v>
      </c>
      <c r="J70" s="684">
        <f t="shared" si="0"/>
        <v>1</v>
      </c>
      <c r="K70" s="698">
        <f>SUMIF(Total!G:G,'Overview Dashboard'!E70,Total!K:K)</f>
        <v>120</v>
      </c>
      <c r="L70" s="699">
        <f>SUMIF(Total!G:G,'Overview Dashboard'!E70,Total!M:M)</f>
        <v>10</v>
      </c>
      <c r="M70" s="687">
        <f t="shared" si="5"/>
        <v>8400</v>
      </c>
      <c r="N70" s="688">
        <f>SUMIF(Total!G:G,'Overview Dashboard'!E70,Total!N:N)</f>
        <v>8400</v>
      </c>
      <c r="O70" s="689">
        <f t="shared" si="6"/>
        <v>1</v>
      </c>
      <c r="P70" s="688">
        <f>SUMIF(Total!G:G,'Overview Dashboard'!E70,Total!Q:Q)</f>
        <v>2240</v>
      </c>
      <c r="Q70" s="690">
        <f t="shared" si="7"/>
        <v>2520</v>
      </c>
      <c r="R70" s="691">
        <f t="shared" si="8"/>
        <v>0.88888888888888884</v>
      </c>
      <c r="S70" s="700">
        <f t="shared" si="1"/>
        <v>2520</v>
      </c>
      <c r="T70" s="692">
        <f>SUMIF(Total!G:G,'Overview Dashboard'!E70,Total!Q:Q)</f>
        <v>2240</v>
      </c>
      <c r="U70" s="701">
        <f t="shared" si="2"/>
        <v>0.88888888888888884</v>
      </c>
      <c r="V70" s="694">
        <f t="shared" si="9"/>
        <v>4480000</v>
      </c>
      <c r="W70" s="695">
        <f>SUMIF(Total!G:G,'Overview Dashboard'!E70,Total!T:T)</f>
        <v>4265211</v>
      </c>
      <c r="X70" s="696">
        <f t="shared" si="10"/>
        <v>214789</v>
      </c>
      <c r="Y70" s="694">
        <f t="shared" si="3"/>
        <v>5040000</v>
      </c>
      <c r="Z70" s="695">
        <f t="shared" si="11"/>
        <v>4265211</v>
      </c>
      <c r="AA70" s="697">
        <f t="shared" si="4"/>
        <v>0.84627202380952382</v>
      </c>
      <c r="AB70" s="641"/>
    </row>
    <row r="71" spans="3:30" ht="15.75" customHeight="1">
      <c r="C71" s="680">
        <v>8</v>
      </c>
      <c r="D71" s="640" t="s">
        <v>41</v>
      </c>
      <c r="E71" s="640" t="s">
        <v>48</v>
      </c>
      <c r="F71" s="643" t="s">
        <v>205</v>
      </c>
      <c r="G71" s="681">
        <v>46246</v>
      </c>
      <c r="H71" s="682">
        <v>12</v>
      </c>
      <c r="I71" s="683">
        <v>12</v>
      </c>
      <c r="J71" s="684">
        <f t="shared" si="0"/>
        <v>1</v>
      </c>
      <c r="K71" s="698">
        <f>SUMIF(Total!G:G,'Overview Dashboard'!E71,Total!K:K)</f>
        <v>168</v>
      </c>
      <c r="L71" s="699">
        <f>SUMIF(Total!G:G,'Overview Dashboard'!E71,Total!M:M)</f>
        <v>14</v>
      </c>
      <c r="M71" s="687">
        <f t="shared" si="5"/>
        <v>11760</v>
      </c>
      <c r="N71" s="688">
        <f>SUMIF(Total!G:G,'Overview Dashboard'!E71,Total!N:N)</f>
        <v>11760</v>
      </c>
      <c r="O71" s="689">
        <f t="shared" si="6"/>
        <v>1</v>
      </c>
      <c r="P71" s="688">
        <f>SUMIF(Total!G:G,'Overview Dashboard'!E71,Total!Q:Q)</f>
        <v>1756</v>
      </c>
      <c r="Q71" s="690">
        <f t="shared" si="7"/>
        <v>3528</v>
      </c>
      <c r="R71" s="691">
        <f t="shared" si="8"/>
        <v>0.49773242630385489</v>
      </c>
      <c r="S71" s="700">
        <f t="shared" si="1"/>
        <v>3528</v>
      </c>
      <c r="T71" s="692">
        <f>SUMIF(Total!G:G,'Overview Dashboard'!E71,Total!Q:Q)</f>
        <v>1756</v>
      </c>
      <c r="U71" s="701">
        <f t="shared" si="2"/>
        <v>0.49773242630385489</v>
      </c>
      <c r="V71" s="694">
        <f t="shared" si="9"/>
        <v>3512000</v>
      </c>
      <c r="W71" s="695">
        <f>SUMIF(Total!G:G,'Overview Dashboard'!E71,Total!T:T)</f>
        <v>3315328</v>
      </c>
      <c r="X71" s="696">
        <f t="shared" si="10"/>
        <v>196672</v>
      </c>
      <c r="Y71" s="694">
        <f t="shared" si="3"/>
        <v>7056000</v>
      </c>
      <c r="Z71" s="695">
        <f t="shared" si="11"/>
        <v>3315328</v>
      </c>
      <c r="AA71" s="697">
        <f t="shared" si="4"/>
        <v>0.46985941043083901</v>
      </c>
      <c r="AB71" s="641"/>
    </row>
    <row r="72" spans="3:30" ht="15.75" customHeight="1">
      <c r="C72" s="680">
        <v>9</v>
      </c>
      <c r="D72" s="640" t="s">
        <v>41</v>
      </c>
      <c r="E72" s="640" t="s">
        <v>50</v>
      </c>
      <c r="F72" s="643" t="s">
        <v>205</v>
      </c>
      <c r="G72" s="681">
        <v>46245</v>
      </c>
      <c r="H72" s="682">
        <v>12</v>
      </c>
      <c r="I72" s="683">
        <v>12</v>
      </c>
      <c r="J72" s="684">
        <f t="shared" si="0"/>
        <v>1</v>
      </c>
      <c r="K72" s="698">
        <f>SUMIF(Total!G:G,'Overview Dashboard'!E72,Total!K:K)</f>
        <v>144</v>
      </c>
      <c r="L72" s="699">
        <f>SUMIF(Total!G:G,'Overview Dashboard'!E72,Total!M:M)</f>
        <v>12</v>
      </c>
      <c r="M72" s="687">
        <f t="shared" si="5"/>
        <v>10080</v>
      </c>
      <c r="N72" s="688">
        <f>SUMIF(Total!G:G,'Overview Dashboard'!E72,Total!N:N)</f>
        <v>10080</v>
      </c>
      <c r="O72" s="689">
        <f t="shared" si="6"/>
        <v>1</v>
      </c>
      <c r="P72" s="688">
        <f>SUMIF(Total!G:G,'Overview Dashboard'!E72,Total!Q:Q)</f>
        <v>1326</v>
      </c>
      <c r="Q72" s="690">
        <f t="shared" si="7"/>
        <v>3024</v>
      </c>
      <c r="R72" s="691">
        <f t="shared" si="8"/>
        <v>0.43849206349206349</v>
      </c>
      <c r="S72" s="700">
        <f t="shared" si="1"/>
        <v>3024</v>
      </c>
      <c r="T72" s="692">
        <f>SUMIF(Total!G:G,'Overview Dashboard'!E72,Total!Q:Q)</f>
        <v>1326</v>
      </c>
      <c r="U72" s="701">
        <f t="shared" si="2"/>
        <v>0.43849206349206349</v>
      </c>
      <c r="V72" s="694">
        <f t="shared" si="9"/>
        <v>2652000</v>
      </c>
      <c r="W72" s="695">
        <f>SUMIF(Total!G:G,'Overview Dashboard'!E72,Total!T:T)</f>
        <v>2513980</v>
      </c>
      <c r="X72" s="696">
        <f t="shared" si="10"/>
        <v>138020</v>
      </c>
      <c r="Y72" s="694">
        <f t="shared" si="3"/>
        <v>6048000</v>
      </c>
      <c r="Z72" s="695">
        <f t="shared" si="11"/>
        <v>2513980</v>
      </c>
      <c r="AA72" s="697">
        <f t="shared" si="4"/>
        <v>0.41567129629629629</v>
      </c>
      <c r="AB72" s="641"/>
      <c r="AD72" s="29"/>
    </row>
    <row r="73" spans="3:30" ht="16.5" customHeight="1">
      <c r="C73" s="680">
        <v>10</v>
      </c>
      <c r="D73" s="640" t="s">
        <v>61</v>
      </c>
      <c r="E73" s="640" t="s">
        <v>262</v>
      </c>
      <c r="F73" s="643" t="s">
        <v>205</v>
      </c>
      <c r="G73" s="681">
        <v>46247</v>
      </c>
      <c r="H73" s="682">
        <v>12</v>
      </c>
      <c r="I73" s="683">
        <v>12</v>
      </c>
      <c r="J73" s="684">
        <f t="shared" si="0"/>
        <v>1</v>
      </c>
      <c r="K73" s="698">
        <f>SUMIF(Total!G:G,'Overview Dashboard'!E73,Total!K:K)</f>
        <v>120</v>
      </c>
      <c r="L73" s="699">
        <f>SUMIF(Total!G:G,'Overview Dashboard'!E73,Total!M:M)</f>
        <v>10</v>
      </c>
      <c r="M73" s="687">
        <f t="shared" si="5"/>
        <v>8400</v>
      </c>
      <c r="N73" s="688">
        <f>SUMIF(Total!G:G,'Overview Dashboard'!E73,Total!N:N)</f>
        <v>8400</v>
      </c>
      <c r="O73" s="689">
        <f t="shared" si="6"/>
        <v>1</v>
      </c>
      <c r="P73" s="688">
        <f>SUMIF(Total!G:G,'Overview Dashboard'!E73,Total!Q:Q)</f>
        <v>975</v>
      </c>
      <c r="Q73" s="690">
        <f t="shared" si="7"/>
        <v>2520</v>
      </c>
      <c r="R73" s="691">
        <f t="shared" si="8"/>
        <v>0.38690476190476192</v>
      </c>
      <c r="S73" s="700">
        <f t="shared" si="1"/>
        <v>2520</v>
      </c>
      <c r="T73" s="692">
        <f>SUMIF(Total!G:G,'Overview Dashboard'!E73,Total!Q:Q)</f>
        <v>975</v>
      </c>
      <c r="U73" s="702">
        <f t="shared" si="2"/>
        <v>0.38690476190476192</v>
      </c>
      <c r="V73" s="694">
        <f t="shared" si="9"/>
        <v>1950000</v>
      </c>
      <c r="W73" s="695">
        <f>SUMIF(Total!G:G,'Overview Dashboard'!E73,Total!T:T)</f>
        <v>1851711</v>
      </c>
      <c r="X73" s="696">
        <f t="shared" si="10"/>
        <v>98289</v>
      </c>
      <c r="Y73" s="694">
        <f t="shared" si="3"/>
        <v>5040000</v>
      </c>
      <c r="Z73" s="695">
        <f t="shared" si="11"/>
        <v>1851711</v>
      </c>
      <c r="AA73" s="684">
        <f t="shared" si="4"/>
        <v>0.36740297619047618</v>
      </c>
      <c r="AB73" s="641"/>
    </row>
    <row r="74" spans="3:30" ht="16.5" customHeight="1">
      <c r="C74" s="680">
        <v>11</v>
      </c>
      <c r="D74" s="640" t="s">
        <v>61</v>
      </c>
      <c r="E74" s="640" t="s">
        <v>274</v>
      </c>
      <c r="F74" s="756" t="s">
        <v>205</v>
      </c>
      <c r="G74" s="681">
        <v>46251</v>
      </c>
      <c r="H74" s="682">
        <v>12</v>
      </c>
      <c r="I74" s="683">
        <v>12</v>
      </c>
      <c r="J74" s="684">
        <f t="shared" si="0"/>
        <v>1</v>
      </c>
      <c r="K74" s="698">
        <f>SUMIF(Total!G:G,'Overview Dashboard'!E74,Total!K:K)</f>
        <v>204</v>
      </c>
      <c r="L74" s="699">
        <f>SUMIF(Total!G:G,'Overview Dashboard'!E74,Total!M:M)</f>
        <v>17</v>
      </c>
      <c r="M74" s="687">
        <f t="shared" si="5"/>
        <v>14280</v>
      </c>
      <c r="N74" s="688">
        <f>SUMIF(Total!G:G,'Overview Dashboard'!E74,Total!N:N)</f>
        <v>14280</v>
      </c>
      <c r="O74" s="689">
        <f t="shared" si="6"/>
        <v>1</v>
      </c>
      <c r="P74" s="688">
        <f>SUMIF(Total!G:G,'Overview Dashboard'!E74,Total!Q:Q)</f>
        <v>3804</v>
      </c>
      <c r="Q74" s="690">
        <f t="shared" si="7"/>
        <v>4284</v>
      </c>
      <c r="R74" s="691">
        <f t="shared" si="8"/>
        <v>0.88795518207282909</v>
      </c>
      <c r="S74" s="700">
        <f t="shared" si="1"/>
        <v>4284</v>
      </c>
      <c r="T74" s="692">
        <f>SUMIF(Total!G:G,'Overview Dashboard'!E74,Total!Q:Q)</f>
        <v>3804</v>
      </c>
      <c r="U74" s="702">
        <f t="shared" si="2"/>
        <v>0.88795518207282909</v>
      </c>
      <c r="V74" s="694">
        <f t="shared" si="9"/>
        <v>7608000</v>
      </c>
      <c r="W74" s="695">
        <f>SUMIF(Total!G:G,'Overview Dashboard'!E74,Total!T:T)</f>
        <v>7239072</v>
      </c>
      <c r="X74" s="696">
        <f t="shared" si="10"/>
        <v>368928</v>
      </c>
      <c r="Y74" s="694">
        <f t="shared" si="3"/>
        <v>8568000</v>
      </c>
      <c r="Z74" s="695">
        <f t="shared" si="11"/>
        <v>7239072</v>
      </c>
      <c r="AA74" s="684">
        <f t="shared" si="4"/>
        <v>0.84489635854341738</v>
      </c>
      <c r="AB74" s="641"/>
    </row>
    <row r="75" spans="3:30" ht="16.5" customHeight="1">
      <c r="C75" s="680">
        <v>12</v>
      </c>
      <c r="D75" s="640" t="s">
        <v>61</v>
      </c>
      <c r="E75" s="640" t="s">
        <v>263</v>
      </c>
      <c r="F75" s="643" t="s">
        <v>207</v>
      </c>
      <c r="G75" s="681">
        <v>46247</v>
      </c>
      <c r="H75" s="682">
        <v>12</v>
      </c>
      <c r="I75" s="683">
        <v>12</v>
      </c>
      <c r="J75" s="684">
        <f t="shared" si="0"/>
        <v>1</v>
      </c>
      <c r="K75" s="698">
        <f>SUMIF(Total!G:G,'Overview Dashboard'!E75,Total!K:K)</f>
        <v>48</v>
      </c>
      <c r="L75" s="699">
        <f>SUMIF(Total!G:G,'Overview Dashboard'!E75,Total!M:M)</f>
        <v>4</v>
      </c>
      <c r="M75" s="687">
        <f t="shared" si="5"/>
        <v>3360</v>
      </c>
      <c r="N75" s="688">
        <f>SUMIF(Total!G:G,'Overview Dashboard'!E75,Total!N:N)</f>
        <v>3360</v>
      </c>
      <c r="O75" s="689">
        <f t="shared" si="6"/>
        <v>1</v>
      </c>
      <c r="P75" s="688">
        <f>SUMIF(Total!G:G,'Overview Dashboard'!E75,Total!Q:Q)</f>
        <v>391</v>
      </c>
      <c r="Q75" s="690">
        <f t="shared" si="7"/>
        <v>1008</v>
      </c>
      <c r="R75" s="691">
        <f t="shared" si="8"/>
        <v>0.38789682539682541</v>
      </c>
      <c r="S75" s="700">
        <f t="shared" si="1"/>
        <v>1008</v>
      </c>
      <c r="T75" s="692">
        <f>SUMIF(Total!G:G,'Overview Dashboard'!E75,Total!Q:Q)</f>
        <v>391</v>
      </c>
      <c r="U75" s="702">
        <f t="shared" si="2"/>
        <v>0.38789682539682541</v>
      </c>
      <c r="V75" s="694">
        <f t="shared" si="9"/>
        <v>782000</v>
      </c>
      <c r="W75" s="695">
        <f>SUMIF(Total!G:G,'Overview Dashboard'!E75,Total!T:T)</f>
        <v>738208</v>
      </c>
      <c r="X75" s="696">
        <f t="shared" si="10"/>
        <v>43792</v>
      </c>
      <c r="Y75" s="694">
        <f t="shared" si="3"/>
        <v>2016000</v>
      </c>
      <c r="Z75" s="695">
        <f t="shared" si="11"/>
        <v>738208</v>
      </c>
      <c r="AA75" s="684">
        <f t="shared" si="4"/>
        <v>0.36617460317460315</v>
      </c>
      <c r="AB75" s="641"/>
    </row>
    <row r="76" spans="3:30" ht="16.5" customHeight="1">
      <c r="C76" s="680">
        <v>13</v>
      </c>
      <c r="D76" s="640" t="s">
        <v>61</v>
      </c>
      <c r="E76" s="640" t="s">
        <v>193</v>
      </c>
      <c r="F76" s="643" t="s">
        <v>205</v>
      </c>
      <c r="G76" s="681">
        <v>46245</v>
      </c>
      <c r="H76" s="682">
        <v>12</v>
      </c>
      <c r="I76" s="683">
        <v>12</v>
      </c>
      <c r="J76" s="684">
        <f t="shared" si="0"/>
        <v>1</v>
      </c>
      <c r="K76" s="698">
        <f>SUMIF(Total!G:G,'Overview Dashboard'!E76,Total!K:K)</f>
        <v>144</v>
      </c>
      <c r="L76" s="699">
        <f>SUMIF(Total!G:G,'Overview Dashboard'!E76,Total!M:M)</f>
        <v>12</v>
      </c>
      <c r="M76" s="687">
        <f t="shared" si="5"/>
        <v>10080</v>
      </c>
      <c r="N76" s="688">
        <f>SUMIF(Total!G:G,'Overview Dashboard'!E76,Total!N:N)</f>
        <v>10080</v>
      </c>
      <c r="O76" s="689">
        <f t="shared" si="6"/>
        <v>1</v>
      </c>
      <c r="P76" s="688">
        <f>SUMIF(Total!G:G,'Overview Dashboard'!E76,Total!Q:Q)</f>
        <v>1686</v>
      </c>
      <c r="Q76" s="690">
        <f t="shared" si="7"/>
        <v>3024</v>
      </c>
      <c r="R76" s="691">
        <f t="shared" si="8"/>
        <v>0.55753968253968256</v>
      </c>
      <c r="S76" s="700">
        <f t="shared" si="1"/>
        <v>3024</v>
      </c>
      <c r="T76" s="692">
        <f>SUMIF(Total!G:G,'Overview Dashboard'!E76,Total!Q:Q)</f>
        <v>1686</v>
      </c>
      <c r="U76" s="702">
        <f t="shared" si="2"/>
        <v>0.55753968253968256</v>
      </c>
      <c r="V76" s="694">
        <f t="shared" si="9"/>
        <v>3372000</v>
      </c>
      <c r="W76" s="695">
        <f>SUMIF(Total!G:G,'Overview Dashboard'!E76,Total!T:T)</f>
        <v>3220296</v>
      </c>
      <c r="X76" s="696">
        <f t="shared" si="10"/>
        <v>151704</v>
      </c>
      <c r="Y76" s="694">
        <f t="shared" si="3"/>
        <v>6048000</v>
      </c>
      <c r="Z76" s="695">
        <f t="shared" si="11"/>
        <v>3220296</v>
      </c>
      <c r="AA76" s="684">
        <f t="shared" si="4"/>
        <v>0.53245634920634921</v>
      </c>
      <c r="AB76" s="641"/>
    </row>
    <row r="77" spans="3:30" ht="16.5" customHeight="1">
      <c r="C77" s="680">
        <v>14</v>
      </c>
      <c r="D77" s="640" t="s">
        <v>61</v>
      </c>
      <c r="E77" s="640" t="s">
        <v>69</v>
      </c>
      <c r="F77" s="745" t="s">
        <v>207</v>
      </c>
      <c r="G77" s="744">
        <v>46248</v>
      </c>
      <c r="H77" s="682">
        <v>12</v>
      </c>
      <c r="I77" s="683">
        <v>12</v>
      </c>
      <c r="J77" s="684">
        <f t="shared" si="0"/>
        <v>1</v>
      </c>
      <c r="K77" s="698">
        <f>SUMIF(Total!G:G,'Overview Dashboard'!E77,Total!K:K)</f>
        <v>156</v>
      </c>
      <c r="L77" s="699">
        <f>SUMIF(Total!G:G,'Overview Dashboard'!E77,Total!M:M)</f>
        <v>13</v>
      </c>
      <c r="M77" s="687">
        <f t="shared" si="5"/>
        <v>10920</v>
      </c>
      <c r="N77" s="688">
        <f>SUMIF(Total!G:G,'Overview Dashboard'!E77,Total!N:N)</f>
        <v>10920</v>
      </c>
      <c r="O77" s="689">
        <f t="shared" si="6"/>
        <v>1</v>
      </c>
      <c r="P77" s="688">
        <f>SUMIF(Total!G:G,'Overview Dashboard'!E77,Total!Q:Q)</f>
        <v>2550</v>
      </c>
      <c r="Q77" s="690">
        <f t="shared" si="7"/>
        <v>3276</v>
      </c>
      <c r="R77" s="691">
        <f t="shared" si="8"/>
        <v>0.7783882783882784</v>
      </c>
      <c r="S77" s="700">
        <f t="shared" si="1"/>
        <v>3276</v>
      </c>
      <c r="T77" s="692">
        <f>SUMIF(Total!G:G,'Overview Dashboard'!E77,Total!Q:Q)</f>
        <v>2550</v>
      </c>
      <c r="U77" s="702">
        <f t="shared" si="2"/>
        <v>0.7783882783882784</v>
      </c>
      <c r="V77" s="694">
        <f t="shared" si="9"/>
        <v>5100000</v>
      </c>
      <c r="W77" s="695">
        <f>SUMIF(Total!G:G,'Overview Dashboard'!E77,Total!T:T)</f>
        <v>4852412</v>
      </c>
      <c r="X77" s="696">
        <f t="shared" si="10"/>
        <v>247588</v>
      </c>
      <c r="Y77" s="694">
        <f t="shared" si="3"/>
        <v>6552000</v>
      </c>
      <c r="Z77" s="695">
        <f t="shared" si="11"/>
        <v>4852412</v>
      </c>
      <c r="AA77" s="684">
        <f t="shared" si="4"/>
        <v>0.74060012210012205</v>
      </c>
      <c r="AB77" s="641"/>
      <c r="AC77" s="26"/>
    </row>
    <row r="78" spans="3:30" ht="28.2" customHeight="1">
      <c r="C78" s="703" t="s">
        <v>70</v>
      </c>
      <c r="D78" s="704"/>
      <c r="E78" s="704"/>
      <c r="F78" s="704"/>
      <c r="G78" s="705"/>
      <c r="H78" s="706">
        <f>SUM(H64:H77)</f>
        <v>168</v>
      </c>
      <c r="I78" s="707">
        <f>SUM(I64:I77)</f>
        <v>168</v>
      </c>
      <c r="J78" s="708">
        <f t="shared" ref="J78" si="12">I78/H78</f>
        <v>1</v>
      </c>
      <c r="K78" s="709">
        <f>SUM(K64:K77)</f>
        <v>1788</v>
      </c>
      <c r="L78" s="710">
        <f>SUM(L64:L77)</f>
        <v>149</v>
      </c>
      <c r="M78" s="748">
        <f>SUM(M64:M77)</f>
        <v>125160</v>
      </c>
      <c r="N78" s="748">
        <f>SUM(N64:N77)</f>
        <v>125160</v>
      </c>
      <c r="O78" s="711">
        <f>N78/M78</f>
        <v>1</v>
      </c>
      <c r="P78" s="748">
        <f>SUM(P64:P77)</f>
        <v>23115</v>
      </c>
      <c r="Q78" s="748">
        <f>SUM(Q64:Q77)</f>
        <v>37548</v>
      </c>
      <c r="R78" s="711">
        <f>P78/Q78</f>
        <v>0.615612016618728</v>
      </c>
      <c r="S78" s="748">
        <f>SUM(S64:S77)</f>
        <v>37548</v>
      </c>
      <c r="T78" s="748">
        <f>SUM(T64:T77)</f>
        <v>23115</v>
      </c>
      <c r="U78" s="711">
        <f t="shared" ref="U78" si="13">T78/S78</f>
        <v>0.615612016618728</v>
      </c>
      <c r="V78" s="746">
        <f>SUM(V64:V77)</f>
        <v>46230000</v>
      </c>
      <c r="W78" s="746">
        <f>SUM(W64:W77)</f>
        <v>43923814.280000001</v>
      </c>
      <c r="X78" s="746">
        <f>SUM(X64:X77)</f>
        <v>2306185.7199999997</v>
      </c>
      <c r="Y78" s="746">
        <f>SUM(Y64:Y77)</f>
        <v>75096000</v>
      </c>
      <c r="Z78" s="746">
        <f>SUM(Z64:Z77)</f>
        <v>43923814.280000001</v>
      </c>
      <c r="AA78" s="712">
        <f t="shared" si="4"/>
        <v>0.58490218227335677</v>
      </c>
      <c r="AB78" s="641"/>
    </row>
    <row r="79" spans="3:30" ht="15" thickBot="1">
      <c r="C79" s="713"/>
      <c r="D79" s="714"/>
      <c r="E79" s="714"/>
      <c r="F79" s="714"/>
      <c r="G79" s="715"/>
      <c r="H79" s="716"/>
      <c r="I79" s="717"/>
      <c r="J79" s="718"/>
      <c r="K79" s="719"/>
      <c r="L79" s="720"/>
      <c r="M79" s="716"/>
      <c r="N79" s="717"/>
      <c r="O79" s="717"/>
      <c r="P79" s="717"/>
      <c r="Q79" s="720"/>
      <c r="R79" s="721"/>
      <c r="S79" s="722"/>
      <c r="T79" s="714"/>
      <c r="U79" s="723"/>
      <c r="V79" s="724"/>
      <c r="W79" s="725"/>
      <c r="X79" s="726"/>
      <c r="Y79" s="724"/>
      <c r="Z79" s="725"/>
      <c r="AA79" s="727"/>
      <c r="AB79" s="641"/>
    </row>
    <row r="80" spans="3:30" ht="15" thickBot="1">
      <c r="C80" s="641"/>
      <c r="D80" s="641"/>
      <c r="E80" s="641"/>
      <c r="F80" s="641"/>
      <c r="G80" s="641"/>
      <c r="H80" s="641"/>
      <c r="I80" s="672"/>
      <c r="J80" s="672"/>
      <c r="K80" s="676"/>
      <c r="L80" s="672"/>
      <c r="M80" s="672"/>
      <c r="N80" s="672"/>
      <c r="O80" s="672"/>
      <c r="P80" s="672"/>
      <c r="Q80" s="672"/>
      <c r="R80" s="672"/>
      <c r="S80" s="672"/>
      <c r="T80" s="641"/>
      <c r="U80" s="641"/>
      <c r="V80" s="677"/>
      <c r="W80" s="678"/>
      <c r="X80" s="678"/>
      <c r="Y80" s="678"/>
      <c r="Z80" s="678"/>
      <c r="AA80" s="678"/>
      <c r="AB80" s="641"/>
    </row>
    <row r="81" spans="3:28" ht="15" thickBot="1">
      <c r="C81" s="641"/>
      <c r="D81" s="641"/>
      <c r="E81" s="641"/>
      <c r="F81" s="641"/>
      <c r="G81" s="754"/>
      <c r="H81" s="896" t="s">
        <v>0</v>
      </c>
      <c r="I81" s="897"/>
      <c r="J81" s="898"/>
      <c r="K81" s="896"/>
      <c r="L81" s="897"/>
      <c r="M81" s="834" t="s">
        <v>234</v>
      </c>
      <c r="N81" s="835"/>
      <c r="O81" s="835"/>
      <c r="P81" s="835"/>
      <c r="Q81" s="835"/>
      <c r="R81" s="836"/>
      <c r="S81" s="834" t="s">
        <v>227</v>
      </c>
      <c r="T81" s="835"/>
      <c r="U81" s="836"/>
      <c r="V81" s="893" t="s">
        <v>3</v>
      </c>
      <c r="W81" s="894"/>
      <c r="X81" s="895"/>
      <c r="Y81" s="893" t="s">
        <v>4</v>
      </c>
      <c r="Z81" s="894"/>
      <c r="AA81" s="895"/>
    </row>
    <row r="82" spans="3:28" ht="51" customHeight="1">
      <c r="C82" s="641"/>
      <c r="D82" s="641"/>
      <c r="E82" s="641"/>
      <c r="F82" s="641"/>
      <c r="G82" s="859" t="s">
        <v>6</v>
      </c>
      <c r="H82" s="870" t="s">
        <v>11</v>
      </c>
      <c r="I82" s="870" t="s">
        <v>12</v>
      </c>
      <c r="J82" s="872" t="s">
        <v>13</v>
      </c>
      <c r="K82" s="870" t="s">
        <v>14</v>
      </c>
      <c r="L82" s="870" t="s">
        <v>15</v>
      </c>
      <c r="M82" s="651" t="s">
        <v>229</v>
      </c>
      <c r="N82" s="651" t="s">
        <v>238</v>
      </c>
      <c r="O82" s="651" t="s">
        <v>76</v>
      </c>
      <c r="P82" s="651" t="s">
        <v>239</v>
      </c>
      <c r="Q82" s="593" t="s">
        <v>241</v>
      </c>
      <c r="R82" s="651" t="s">
        <v>233</v>
      </c>
      <c r="S82" s="861" t="s">
        <v>20</v>
      </c>
      <c r="T82" s="862"/>
      <c r="U82" s="863"/>
      <c r="V82" s="864" t="s">
        <v>3</v>
      </c>
      <c r="W82" s="865"/>
      <c r="X82" s="866"/>
      <c r="Y82" s="655" t="s">
        <v>21</v>
      </c>
      <c r="Z82" s="655"/>
      <c r="AA82" s="656"/>
    </row>
    <row r="83" spans="3:28">
      <c r="C83" s="641"/>
      <c r="D83" s="641"/>
      <c r="E83" s="641"/>
      <c r="F83" s="641"/>
      <c r="G83" s="860"/>
      <c r="H83" s="871"/>
      <c r="I83" s="871"/>
      <c r="J83" s="873"/>
      <c r="K83" s="871"/>
      <c r="L83" s="871"/>
      <c r="M83" s="588"/>
      <c r="N83" s="588"/>
      <c r="O83" s="588"/>
      <c r="P83" s="588"/>
      <c r="Q83" s="588"/>
      <c r="R83" s="588"/>
      <c r="S83" s="589" t="s">
        <v>22</v>
      </c>
      <c r="T83" s="589" t="s">
        <v>23</v>
      </c>
      <c r="U83" s="590" t="s">
        <v>13</v>
      </c>
      <c r="V83" s="591" t="s">
        <v>24</v>
      </c>
      <c r="W83" s="591" t="s">
        <v>25</v>
      </c>
      <c r="X83" s="591" t="s">
        <v>26</v>
      </c>
      <c r="Y83" s="591" t="s">
        <v>27</v>
      </c>
      <c r="Z83" s="591" t="s">
        <v>28</v>
      </c>
      <c r="AA83" s="612" t="s">
        <v>29</v>
      </c>
    </row>
    <row r="84" spans="3:28">
      <c r="C84" s="641"/>
      <c r="D84" s="641"/>
      <c r="E84" s="641"/>
      <c r="F84" s="641"/>
      <c r="G84" s="728" t="s">
        <v>30</v>
      </c>
      <c r="H84" s="683">
        <f t="shared" ref="H84:I86" si="14">SUMIF($D$64:$D$77,$G84,H$64:H$77)</f>
        <v>48</v>
      </c>
      <c r="I84" s="683">
        <f t="shared" si="14"/>
        <v>48</v>
      </c>
      <c r="J84" s="689">
        <f>IFERROR(I84/H84,"")</f>
        <v>1</v>
      </c>
      <c r="K84" s="683">
        <f t="shared" ref="K84:T86" si="15">SUMIF($D$64:$D$77,$G84,K$64:K$77)</f>
        <v>504</v>
      </c>
      <c r="L84" s="683">
        <f t="shared" si="15"/>
        <v>42</v>
      </c>
      <c r="M84" s="683">
        <f t="shared" si="15"/>
        <v>35280</v>
      </c>
      <c r="N84" s="683">
        <f t="shared" si="15"/>
        <v>35280</v>
      </c>
      <c r="O84" s="689">
        <f t="shared" si="15"/>
        <v>4</v>
      </c>
      <c r="P84" s="683">
        <f t="shared" si="15"/>
        <v>5997</v>
      </c>
      <c r="Q84" s="683">
        <f t="shared" si="15"/>
        <v>10584</v>
      </c>
      <c r="R84" s="689">
        <f t="shared" si="15"/>
        <v>1.979696554547745</v>
      </c>
      <c r="S84" s="683">
        <f t="shared" si="15"/>
        <v>10584</v>
      </c>
      <c r="T84" s="683">
        <f t="shared" si="15"/>
        <v>5997</v>
      </c>
      <c r="U84" s="689">
        <f>IFERROR(T84/S84,"")</f>
        <v>0.56660997732426299</v>
      </c>
      <c r="V84" s="729">
        <f t="shared" ref="V84:W86" si="16">SUMIF($D$64:$D$77,$G84,V$64:V$77)</f>
        <v>11994000</v>
      </c>
      <c r="W84" s="729">
        <f t="shared" si="16"/>
        <v>11387052.280000001</v>
      </c>
      <c r="X84" s="729">
        <f>V84-W84</f>
        <v>606947.71999999881</v>
      </c>
      <c r="Y84" s="729">
        <f t="shared" ref="Y84:Z86" si="17">SUMIF($D$64:$D$77,$G84,Y$64:Y$77)</f>
        <v>21168000</v>
      </c>
      <c r="Z84" s="729">
        <f t="shared" si="17"/>
        <v>11387052.280000001</v>
      </c>
      <c r="AA84" s="691">
        <f>IFERROR(Z84/Y84,"")</f>
        <v>0.53793708805744522</v>
      </c>
    </row>
    <row r="85" spans="3:28">
      <c r="C85" s="641"/>
      <c r="D85" s="641"/>
      <c r="E85" s="641"/>
      <c r="F85" s="641"/>
      <c r="G85" s="728" t="s">
        <v>41</v>
      </c>
      <c r="H85" s="683">
        <f t="shared" si="14"/>
        <v>60</v>
      </c>
      <c r="I85" s="683">
        <f t="shared" si="14"/>
        <v>60</v>
      </c>
      <c r="J85" s="689">
        <f t="shared" ref="J85:J87" si="18">IFERROR(I85/H85,"")</f>
        <v>1</v>
      </c>
      <c r="K85" s="683">
        <f t="shared" si="15"/>
        <v>612</v>
      </c>
      <c r="L85" s="683">
        <f t="shared" si="15"/>
        <v>51</v>
      </c>
      <c r="M85" s="683">
        <f t="shared" si="15"/>
        <v>42840</v>
      </c>
      <c r="N85" s="683">
        <f t="shared" si="15"/>
        <v>42840</v>
      </c>
      <c r="O85" s="689">
        <f t="shared" si="15"/>
        <v>5</v>
      </c>
      <c r="P85" s="683">
        <f t="shared" si="15"/>
        <v>7712</v>
      </c>
      <c r="Q85" s="683">
        <f t="shared" si="15"/>
        <v>12852</v>
      </c>
      <c r="R85" s="689">
        <f t="shared" si="15"/>
        <v>2.6978458049886624</v>
      </c>
      <c r="S85" s="683">
        <f t="shared" si="15"/>
        <v>12852</v>
      </c>
      <c r="T85" s="683">
        <f t="shared" si="15"/>
        <v>7712</v>
      </c>
      <c r="U85" s="689">
        <f t="shared" ref="U85:U86" si="19">IFERROR(T85/S85,"")</f>
        <v>0.6000622471210707</v>
      </c>
      <c r="V85" s="729">
        <f t="shared" si="16"/>
        <v>15424000</v>
      </c>
      <c r="W85" s="729">
        <f t="shared" si="16"/>
        <v>14635063</v>
      </c>
      <c r="X85" s="729">
        <f t="shared" ref="X85:X86" si="20">V85-W85</f>
        <v>788937</v>
      </c>
      <c r="Y85" s="729">
        <f t="shared" si="17"/>
        <v>25704000</v>
      </c>
      <c r="Z85" s="729">
        <f t="shared" si="17"/>
        <v>14635063</v>
      </c>
      <c r="AA85" s="691">
        <f t="shared" ref="AA85:AA87" si="21">IFERROR(Z85/Y85,"")</f>
        <v>0.56936908652349827</v>
      </c>
    </row>
    <row r="86" spans="3:28" ht="15" thickBot="1">
      <c r="C86" s="641"/>
      <c r="D86" s="641"/>
      <c r="E86" s="641"/>
      <c r="F86" s="641"/>
      <c r="G86" s="730" t="s">
        <v>61</v>
      </c>
      <c r="H86" s="731">
        <f t="shared" si="14"/>
        <v>60</v>
      </c>
      <c r="I86" s="731">
        <f t="shared" si="14"/>
        <v>60</v>
      </c>
      <c r="J86" s="732">
        <f t="shared" si="18"/>
        <v>1</v>
      </c>
      <c r="K86" s="731">
        <f t="shared" si="15"/>
        <v>672</v>
      </c>
      <c r="L86" s="731">
        <f t="shared" si="15"/>
        <v>56</v>
      </c>
      <c r="M86" s="731">
        <f t="shared" si="15"/>
        <v>47040</v>
      </c>
      <c r="N86" s="731">
        <f t="shared" si="15"/>
        <v>47040</v>
      </c>
      <c r="O86" s="732">
        <f t="shared" si="15"/>
        <v>5</v>
      </c>
      <c r="P86" s="731">
        <f t="shared" si="15"/>
        <v>9406</v>
      </c>
      <c r="Q86" s="731">
        <f t="shared" si="15"/>
        <v>14112</v>
      </c>
      <c r="R86" s="732">
        <f t="shared" si="15"/>
        <v>2.9986847303023771</v>
      </c>
      <c r="S86" s="731">
        <f t="shared" si="15"/>
        <v>14112</v>
      </c>
      <c r="T86" s="731">
        <f t="shared" si="15"/>
        <v>9406</v>
      </c>
      <c r="U86" s="732">
        <f t="shared" si="19"/>
        <v>0.66652494331065759</v>
      </c>
      <c r="V86" s="733">
        <f t="shared" si="16"/>
        <v>18812000</v>
      </c>
      <c r="W86" s="733">
        <f t="shared" si="16"/>
        <v>17901699</v>
      </c>
      <c r="X86" s="733">
        <f t="shared" si="20"/>
        <v>910301</v>
      </c>
      <c r="Y86" s="733">
        <f t="shared" si="17"/>
        <v>28224000</v>
      </c>
      <c r="Z86" s="733">
        <f t="shared" si="17"/>
        <v>17901699</v>
      </c>
      <c r="AA86" s="734">
        <f t="shared" si="21"/>
        <v>0.63427221513605447</v>
      </c>
    </row>
    <row r="87" spans="3:28" ht="15" thickBot="1">
      <c r="C87" s="641"/>
      <c r="D87" s="641"/>
      <c r="E87" s="641"/>
      <c r="F87" s="641"/>
      <c r="G87" s="735" t="s">
        <v>70</v>
      </c>
      <c r="H87" s="736">
        <f>SUM(H84:H86)</f>
        <v>168</v>
      </c>
      <c r="I87" s="737">
        <f>SUM(I84:I86)</f>
        <v>168</v>
      </c>
      <c r="J87" s="738">
        <f t="shared" si="18"/>
        <v>1</v>
      </c>
      <c r="K87" s="736">
        <f>SUM(K84:K86)</f>
        <v>1788</v>
      </c>
      <c r="L87" s="736">
        <f>SUM(L84:L86)</f>
        <v>149</v>
      </c>
      <c r="M87" s="736">
        <f>SUM(M84:M86)</f>
        <v>125160</v>
      </c>
      <c r="N87" s="736">
        <f>SUM(N84:N86)</f>
        <v>125160</v>
      </c>
      <c r="O87" s="738">
        <f>N87/M87</f>
        <v>1</v>
      </c>
      <c r="P87" s="736">
        <f>SUM(P84:P86)</f>
        <v>23115</v>
      </c>
      <c r="Q87" s="736">
        <f>SUM(Q84:Q86)</f>
        <v>37548</v>
      </c>
      <c r="R87" s="738">
        <f>P87/Q87</f>
        <v>0.615612016618728</v>
      </c>
      <c r="S87" s="739">
        <f>SUM(S84:S86)</f>
        <v>37548</v>
      </c>
      <c r="T87" s="739">
        <f>SUM(T84:T86)</f>
        <v>23115</v>
      </c>
      <c r="U87" s="740">
        <f>T87/S87</f>
        <v>0.615612016618728</v>
      </c>
      <c r="V87" s="747">
        <f>SUM(V84:V86)</f>
        <v>46230000</v>
      </c>
      <c r="W87" s="747">
        <f>SUM(W84:W86)</f>
        <v>43923814.280000001</v>
      </c>
      <c r="X87" s="747">
        <f>SUM(X84:X86)</f>
        <v>2306185.7199999988</v>
      </c>
      <c r="Y87" s="747">
        <f>SUM(Y84:Y86)</f>
        <v>75096000</v>
      </c>
      <c r="Z87" s="747">
        <f>SUM(Z84:Z86)</f>
        <v>43923814.280000001</v>
      </c>
      <c r="AA87" s="741">
        <f t="shared" si="21"/>
        <v>0.58490218227335677</v>
      </c>
    </row>
    <row r="88" spans="3:28">
      <c r="C88" s="641"/>
      <c r="D88" s="641"/>
      <c r="E88" s="641"/>
      <c r="F88" s="641"/>
      <c r="G88" s="641"/>
      <c r="H88" s="641"/>
      <c r="I88" s="672"/>
      <c r="J88" s="672"/>
      <c r="K88" s="676"/>
      <c r="L88" s="672"/>
      <c r="M88" s="672"/>
      <c r="N88" s="672"/>
      <c r="O88" s="672"/>
      <c r="P88" s="672"/>
      <c r="Q88" s="672"/>
      <c r="R88" s="672"/>
      <c r="S88" s="672"/>
      <c r="T88" s="641"/>
      <c r="U88" s="641"/>
      <c r="V88" s="677"/>
      <c r="W88" s="678"/>
      <c r="X88" s="678"/>
      <c r="Y88" s="678"/>
      <c r="Z88" s="678"/>
      <c r="AA88" s="678"/>
      <c r="AB88" s="641"/>
    </row>
  </sheetData>
  <mergeCells count="61">
    <mergeCell ref="Y81:AA81"/>
    <mergeCell ref="H81:J81"/>
    <mergeCell ref="M81:R81"/>
    <mergeCell ref="K81:L81"/>
    <mergeCell ref="S81:U81"/>
    <mergeCell ref="V81:X81"/>
    <mergeCell ref="Y61:AA62"/>
    <mergeCell ref="C62:C63"/>
    <mergeCell ref="D62:D63"/>
    <mergeCell ref="E62:E63"/>
    <mergeCell ref="F62:F63"/>
    <mergeCell ref="G62:G63"/>
    <mergeCell ref="M61:M63"/>
    <mergeCell ref="N61:N63"/>
    <mergeCell ref="S61:U62"/>
    <mergeCell ref="V61:X62"/>
    <mergeCell ref="O61:O63"/>
    <mergeCell ref="P61:P63"/>
    <mergeCell ref="Q61:Q63"/>
    <mergeCell ref="R61:R63"/>
    <mergeCell ref="K61:K63"/>
    <mergeCell ref="L61:L63"/>
    <mergeCell ref="G82:G83"/>
    <mergeCell ref="S82:U82"/>
    <mergeCell ref="V82:X82"/>
    <mergeCell ref="G13:H15"/>
    <mergeCell ref="I13:J15"/>
    <mergeCell ref="L82:L83"/>
    <mergeCell ref="K82:K83"/>
    <mergeCell ref="J82:J83"/>
    <mergeCell ref="I82:I83"/>
    <mergeCell ref="H82:H83"/>
    <mergeCell ref="H60:J60"/>
    <mergeCell ref="K60:L60"/>
    <mergeCell ref="S60:U60"/>
    <mergeCell ref="V60:X60"/>
    <mergeCell ref="I62:I63"/>
    <mergeCell ref="J62:J63"/>
    <mergeCell ref="Y60:AA60"/>
    <mergeCell ref="M60:R60"/>
    <mergeCell ref="H62:H63"/>
    <mergeCell ref="C7:AB9"/>
    <mergeCell ref="G16:H18"/>
    <mergeCell ref="I16:J18"/>
    <mergeCell ref="K16:L18"/>
    <mergeCell ref="M16:N18"/>
    <mergeCell ref="O16:P18"/>
    <mergeCell ref="Q16:T18"/>
    <mergeCell ref="K13:L15"/>
    <mergeCell ref="M13:N15"/>
    <mergeCell ref="O13:P15"/>
    <mergeCell ref="Q10:AA12"/>
    <mergeCell ref="Y13:AA15"/>
    <mergeCell ref="U13:X15"/>
    <mergeCell ref="K10:P12"/>
    <mergeCell ref="U16:X18"/>
    <mergeCell ref="Y16:AA18"/>
    <mergeCell ref="D10:J12"/>
    <mergeCell ref="D13:F15"/>
    <mergeCell ref="D16:F18"/>
    <mergeCell ref="Q13:T1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73CF-752C-414A-AD58-E530EB7CA041}">
  <dimension ref="A3:E49"/>
  <sheetViews>
    <sheetView topLeftCell="B46" zoomScale="98" workbookViewId="0">
      <selection activeCell="F79" sqref="F79"/>
    </sheetView>
  </sheetViews>
  <sheetFormatPr defaultRowHeight="14.4"/>
  <cols>
    <col min="1" max="2" width="14.33203125" bestFit="1" customWidth="1"/>
    <col min="3" max="3" width="14.77734375" bestFit="1" customWidth="1"/>
    <col min="4" max="4" width="6.6640625" bestFit="1" customWidth="1"/>
  </cols>
  <sheetData>
    <row r="3" spans="1:4">
      <c r="A3" s="584" t="s">
        <v>212</v>
      </c>
      <c r="B3" t="s">
        <v>214</v>
      </c>
      <c r="C3" t="s">
        <v>215</v>
      </c>
      <c r="D3" t="s">
        <v>218</v>
      </c>
    </row>
    <row r="4" spans="1:4">
      <c r="A4" s="585" t="s">
        <v>30</v>
      </c>
      <c r="B4" s="976">
        <v>48</v>
      </c>
      <c r="C4" s="976">
        <v>48</v>
      </c>
      <c r="D4" s="261">
        <v>0.56689342403628118</v>
      </c>
    </row>
    <row r="5" spans="1:4">
      <c r="A5" s="585" t="s">
        <v>41</v>
      </c>
      <c r="B5" s="976">
        <v>60</v>
      </c>
      <c r="C5" s="976">
        <v>60</v>
      </c>
      <c r="D5" s="261">
        <v>0.6000622471210707</v>
      </c>
    </row>
    <row r="6" spans="1:4">
      <c r="A6" s="585" t="s">
        <v>61</v>
      </c>
      <c r="B6" s="976">
        <v>60</v>
      </c>
      <c r="C6" s="976">
        <v>60</v>
      </c>
      <c r="D6" s="261">
        <v>0.66652494331065759</v>
      </c>
    </row>
    <row r="7" spans="1:4">
      <c r="A7" s="585" t="s">
        <v>213</v>
      </c>
      <c r="B7" s="976">
        <v>168</v>
      </c>
      <c r="C7" s="976">
        <v>168</v>
      </c>
      <c r="D7" s="261">
        <v>0.61569191434963244</v>
      </c>
    </row>
    <row r="11" spans="1:4">
      <c r="A11" s="584" t="s">
        <v>212</v>
      </c>
      <c r="B11" t="s">
        <v>216</v>
      </c>
      <c r="C11" t="s">
        <v>217</v>
      </c>
    </row>
    <row r="12" spans="1:4">
      <c r="A12" s="585" t="s">
        <v>30</v>
      </c>
      <c r="B12" s="976">
        <v>50400</v>
      </c>
      <c r="C12" s="976">
        <v>50400</v>
      </c>
    </row>
    <row r="13" spans="1:4">
      <c r="A13" s="585" t="s">
        <v>41</v>
      </c>
      <c r="B13" s="976">
        <v>73440</v>
      </c>
      <c r="C13" s="976">
        <v>73440</v>
      </c>
    </row>
    <row r="14" spans="1:4">
      <c r="A14" s="585" t="s">
        <v>61</v>
      </c>
      <c r="B14" s="976">
        <v>36000</v>
      </c>
      <c r="C14" s="976">
        <v>36000</v>
      </c>
    </row>
    <row r="15" spans="1:4">
      <c r="A15" s="585" t="s">
        <v>213</v>
      </c>
      <c r="B15" s="976">
        <v>159840</v>
      </c>
      <c r="C15" s="976">
        <v>159840</v>
      </c>
    </row>
    <row r="16" spans="1:4">
      <c r="D16" s="42">
        <f>D18/D17</f>
        <v>1</v>
      </c>
    </row>
    <row r="17" spans="1:5">
      <c r="D17">
        <f>GETPIVOTDATA("Sum of Target Consumer days",$A$11)</f>
        <v>159840</v>
      </c>
      <c r="E17" t="s">
        <v>22</v>
      </c>
    </row>
    <row r="18" spans="1:5">
      <c r="D18">
        <f>GETPIVOTDATA("Sum of Actual Consumer Days ",$A$11)</f>
        <v>159840</v>
      </c>
      <c r="E18" t="s">
        <v>23</v>
      </c>
    </row>
    <row r="19" spans="1:5">
      <c r="A19" s="584" t="s">
        <v>212</v>
      </c>
      <c r="B19" t="s">
        <v>224</v>
      </c>
      <c r="C19" t="s">
        <v>225</v>
      </c>
    </row>
    <row r="20" spans="1:5">
      <c r="A20" s="585" t="s">
        <v>30</v>
      </c>
      <c r="B20" s="976">
        <v>10584</v>
      </c>
      <c r="C20" s="483">
        <v>6000</v>
      </c>
    </row>
    <row r="21" spans="1:5">
      <c r="A21" s="585" t="s">
        <v>41</v>
      </c>
      <c r="B21" s="976">
        <v>12852</v>
      </c>
      <c r="C21" s="483">
        <v>7712</v>
      </c>
    </row>
    <row r="22" spans="1:5">
      <c r="A22" s="585" t="s">
        <v>61</v>
      </c>
      <c r="B22" s="976">
        <v>14112</v>
      </c>
      <c r="C22" s="483">
        <v>9406</v>
      </c>
    </row>
    <row r="23" spans="1:5">
      <c r="A23" s="585" t="s">
        <v>213</v>
      </c>
      <c r="B23" s="976">
        <v>37548</v>
      </c>
      <c r="C23" s="483">
        <v>23118</v>
      </c>
    </row>
    <row r="26" spans="1:5">
      <c r="A26" s="584" t="s">
        <v>212</v>
      </c>
      <c r="B26" t="s">
        <v>222</v>
      </c>
      <c r="C26" t="s">
        <v>223</v>
      </c>
    </row>
    <row r="27" spans="1:5">
      <c r="A27" s="585" t="s">
        <v>30</v>
      </c>
      <c r="B27" s="976">
        <v>10584</v>
      </c>
      <c r="C27" s="976">
        <v>6000</v>
      </c>
    </row>
    <row r="28" spans="1:5">
      <c r="A28" s="585" t="s">
        <v>41</v>
      </c>
      <c r="B28" s="976">
        <v>12852</v>
      </c>
      <c r="C28" s="976">
        <v>7712</v>
      </c>
    </row>
    <row r="29" spans="1:5">
      <c r="A29" s="585" t="s">
        <v>61</v>
      </c>
      <c r="B29" s="976">
        <v>14112</v>
      </c>
      <c r="C29" s="976">
        <v>9406</v>
      </c>
    </row>
    <row r="30" spans="1:5">
      <c r="A30" s="585" t="s">
        <v>213</v>
      </c>
      <c r="B30" s="976">
        <v>37548</v>
      </c>
      <c r="C30" s="976">
        <v>23118</v>
      </c>
    </row>
    <row r="34" spans="1:4">
      <c r="A34" s="584" t="s">
        <v>212</v>
      </c>
      <c r="B34" t="s">
        <v>269</v>
      </c>
      <c r="C34" t="s">
        <v>271</v>
      </c>
      <c r="D34" t="s">
        <v>270</v>
      </c>
    </row>
    <row r="35" spans="1:4">
      <c r="A35" s="585" t="s">
        <v>42</v>
      </c>
      <c r="B35" s="976">
        <v>252</v>
      </c>
      <c r="C35" s="483">
        <v>53</v>
      </c>
      <c r="D35" s="261">
        <v>0.21031746031746032</v>
      </c>
    </row>
    <row r="36" spans="1:4">
      <c r="A36" s="585" t="s">
        <v>193</v>
      </c>
      <c r="B36" s="976">
        <v>3024</v>
      </c>
      <c r="C36" s="483">
        <v>1686</v>
      </c>
      <c r="D36" s="261">
        <v>0.55753968253968256</v>
      </c>
    </row>
    <row r="37" spans="1:4">
      <c r="A37" s="585" t="s">
        <v>38</v>
      </c>
      <c r="B37" s="976">
        <v>2268</v>
      </c>
      <c r="C37" s="483">
        <v>674</v>
      </c>
      <c r="D37" s="261">
        <v>0.29717813051146386</v>
      </c>
    </row>
    <row r="38" spans="1:4">
      <c r="A38" s="585" t="s">
        <v>47</v>
      </c>
      <c r="B38" s="976">
        <v>2520</v>
      </c>
      <c r="C38" s="483">
        <v>2240</v>
      </c>
      <c r="D38" s="261">
        <v>0.88888888888888884</v>
      </c>
    </row>
    <row r="39" spans="1:4">
      <c r="A39" s="585" t="s">
        <v>50</v>
      </c>
      <c r="B39" s="976">
        <v>3024</v>
      </c>
      <c r="C39" s="483">
        <v>1326</v>
      </c>
      <c r="D39" s="261">
        <v>0.43849206349206349</v>
      </c>
    </row>
    <row r="40" spans="1:4">
      <c r="A40" s="585" t="s">
        <v>36</v>
      </c>
      <c r="B40" s="976">
        <v>2520</v>
      </c>
      <c r="C40" s="483">
        <v>1477</v>
      </c>
      <c r="D40" s="261">
        <v>0.58611111111111114</v>
      </c>
    </row>
    <row r="41" spans="1:4">
      <c r="A41" s="585" t="s">
        <v>39</v>
      </c>
      <c r="B41" s="976">
        <v>4032</v>
      </c>
      <c r="C41" s="483">
        <v>3399</v>
      </c>
      <c r="D41" s="261">
        <v>0.84300595238095233</v>
      </c>
    </row>
    <row r="42" spans="1:4">
      <c r="A42" s="585" t="s">
        <v>44</v>
      </c>
      <c r="B42" s="976">
        <v>3528</v>
      </c>
      <c r="C42" s="483">
        <v>2337</v>
      </c>
      <c r="D42" s="261">
        <v>0.6624149659863946</v>
      </c>
    </row>
    <row r="43" spans="1:4">
      <c r="A43" s="585" t="s">
        <v>48</v>
      </c>
      <c r="B43" s="976">
        <v>3528</v>
      </c>
      <c r="C43" s="483">
        <v>1756</v>
      </c>
      <c r="D43" s="261">
        <v>0.49773242630385489</v>
      </c>
    </row>
    <row r="44" spans="1:4">
      <c r="A44" s="585" t="s">
        <v>69</v>
      </c>
      <c r="B44" s="976">
        <v>3276</v>
      </c>
      <c r="C44" s="483">
        <v>2550</v>
      </c>
      <c r="D44" s="261">
        <v>0.7783882783882784</v>
      </c>
    </row>
    <row r="45" spans="1:4">
      <c r="A45" s="585" t="s">
        <v>263</v>
      </c>
      <c r="B45" s="976">
        <v>1008</v>
      </c>
      <c r="C45" s="483">
        <v>391</v>
      </c>
      <c r="D45" s="261">
        <v>0.38789682539682541</v>
      </c>
    </row>
    <row r="46" spans="1:4">
      <c r="A46" s="585" t="s">
        <v>262</v>
      </c>
      <c r="B46" s="976">
        <v>2520</v>
      </c>
      <c r="C46" s="483">
        <v>975</v>
      </c>
      <c r="D46" s="261">
        <v>0.38690476190476192</v>
      </c>
    </row>
    <row r="47" spans="1:4">
      <c r="A47" s="585" t="s">
        <v>274</v>
      </c>
      <c r="B47" s="976">
        <v>4284</v>
      </c>
      <c r="C47" s="483">
        <v>3804</v>
      </c>
      <c r="D47" s="261">
        <v>0.88795518207282909</v>
      </c>
    </row>
    <row r="48" spans="1:4">
      <c r="A48" s="585" t="s">
        <v>276</v>
      </c>
      <c r="B48" s="976">
        <v>1764</v>
      </c>
      <c r="C48" s="483">
        <v>450</v>
      </c>
      <c r="D48" s="261">
        <v>0.25510204081632654</v>
      </c>
    </row>
    <row r="49" spans="1:4">
      <c r="A49" s="585" t="s">
        <v>213</v>
      </c>
      <c r="B49" s="976">
        <v>37548</v>
      </c>
      <c r="C49" s="483">
        <v>23118</v>
      </c>
      <c r="D49" s="261">
        <v>0.61569191434963244</v>
      </c>
    </row>
  </sheetData>
  <pageMargins left="0.7" right="0.7" top="0.75" bottom="0.75" header="0.3" footer="0.3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03AC-0E5A-4D28-A167-968BC504D75D}">
  <sheetPr>
    <tabColor theme="7" tint="0.79995117038483843"/>
  </sheetPr>
  <dimension ref="C1:AH42"/>
  <sheetViews>
    <sheetView showGridLines="0" zoomScale="68" zoomScaleNormal="80" workbookViewId="0">
      <selection activeCell="F79" sqref="F79"/>
    </sheetView>
  </sheetViews>
  <sheetFormatPr defaultColWidth="10.33203125" defaultRowHeight="14.4"/>
  <cols>
    <col min="1" max="1" width="1.5546875" customWidth="1"/>
    <col min="2" max="2" width="4" customWidth="1"/>
    <col min="3" max="3" width="9.109375" customWidth="1"/>
    <col min="4" max="5" width="13.5546875" customWidth="1"/>
    <col min="6" max="6" width="17.5546875" customWidth="1"/>
    <col min="7" max="7" width="12.77734375" customWidth="1"/>
    <col min="8" max="8" width="17.21875" customWidth="1"/>
    <col min="9" max="9" width="14" style="40" customWidth="1"/>
    <col min="10" max="10" width="12.88671875" style="40" customWidth="1"/>
    <col min="11" max="11" width="15.6640625" style="41" customWidth="1"/>
    <col min="12" max="12" width="21.33203125" style="40" bestFit="1" customWidth="1"/>
    <col min="13" max="13" width="13.5546875" style="40" customWidth="1"/>
    <col min="14" max="14" width="9.44140625" style="40" customWidth="1"/>
    <col min="15" max="19" width="13.5546875" style="40" customWidth="1"/>
    <col min="20" max="20" width="10" customWidth="1"/>
    <col min="21" max="21" width="10.33203125" customWidth="1"/>
    <col min="22" max="22" width="11.44140625" style="42" customWidth="1"/>
    <col min="23" max="23" width="13" style="43" customWidth="1"/>
    <col min="24" max="24" width="11.44140625" style="43" bestFit="1" customWidth="1"/>
    <col min="25" max="25" width="9.6640625" style="43" bestFit="1" customWidth="1"/>
    <col min="26" max="26" width="13.6640625" style="43" bestFit="1" customWidth="1"/>
    <col min="27" max="27" width="11.44140625" style="43" bestFit="1" customWidth="1"/>
    <col min="28" max="28" width="7.88671875" customWidth="1"/>
    <col min="29" max="29" width="10.33203125" customWidth="1"/>
    <col min="30" max="30" width="13" customWidth="1"/>
    <col min="31" max="31" width="10.33203125" customWidth="1"/>
  </cols>
  <sheetData>
    <row r="1" spans="3:34">
      <c r="L1" s="586" t="s">
        <v>219</v>
      </c>
      <c r="M1" s="40">
        <v>21</v>
      </c>
    </row>
    <row r="2" spans="3:34">
      <c r="L2" s="586" t="s">
        <v>235</v>
      </c>
      <c r="M2" s="40">
        <v>60</v>
      </c>
    </row>
    <row r="3" spans="3:34" ht="15" thickBot="1">
      <c r="L3" s="586" t="s">
        <v>240</v>
      </c>
      <c r="M3" s="40">
        <v>12</v>
      </c>
    </row>
    <row r="4" spans="3:34" ht="32.4" customHeight="1" thickBot="1">
      <c r="C4" s="896"/>
      <c r="D4" s="897"/>
      <c r="E4" s="897"/>
      <c r="F4" s="897"/>
      <c r="G4" s="897"/>
      <c r="H4" s="898"/>
      <c r="I4" s="958" t="s">
        <v>228</v>
      </c>
      <c r="J4" s="959"/>
      <c r="K4" s="960"/>
      <c r="L4" s="956"/>
      <c r="M4" s="957"/>
      <c r="N4" s="834" t="s">
        <v>234</v>
      </c>
      <c r="O4" s="835"/>
      <c r="P4" s="835"/>
      <c r="Q4" s="835"/>
      <c r="R4" s="835"/>
      <c r="S4" s="836"/>
      <c r="T4" s="834" t="s">
        <v>227</v>
      </c>
      <c r="U4" s="835"/>
      <c r="V4" s="836"/>
      <c r="W4" s="834" t="s">
        <v>3</v>
      </c>
      <c r="X4" s="835"/>
      <c r="Y4" s="836"/>
      <c r="Z4" s="834" t="s">
        <v>237</v>
      </c>
      <c r="AA4" s="835"/>
      <c r="AB4" s="836"/>
    </row>
    <row r="5" spans="3:34">
      <c r="C5" s="631"/>
      <c r="D5" s="629"/>
      <c r="E5" s="629"/>
      <c r="F5" s="629"/>
      <c r="G5" s="629"/>
      <c r="H5" s="630"/>
      <c r="I5" s="608"/>
      <c r="J5" s="592"/>
      <c r="K5" s="609"/>
      <c r="L5" s="837" t="s">
        <v>14</v>
      </c>
      <c r="M5" s="837" t="s">
        <v>15</v>
      </c>
      <c r="N5" s="961" t="s">
        <v>229</v>
      </c>
      <c r="O5" s="963" t="s">
        <v>230</v>
      </c>
      <c r="P5" s="593"/>
      <c r="Q5" s="593"/>
      <c r="R5" s="593"/>
      <c r="S5" s="598"/>
      <c r="T5" s="883" t="s">
        <v>20</v>
      </c>
      <c r="U5" s="884"/>
      <c r="V5" s="884"/>
      <c r="W5" s="887" t="s">
        <v>3</v>
      </c>
      <c r="X5" s="888"/>
      <c r="Y5" s="889"/>
      <c r="Z5" s="876" t="s">
        <v>4</v>
      </c>
      <c r="AA5" s="877"/>
      <c r="AB5" s="878"/>
      <c r="AH5" s="2"/>
    </row>
    <row r="6" spans="3:34" s="12" customFormat="1" ht="53.1" customHeight="1" thickBot="1">
      <c r="C6" s="964" t="s">
        <v>226</v>
      </c>
      <c r="D6" s="965" t="s">
        <v>6</v>
      </c>
      <c r="E6" s="965" t="s">
        <v>7</v>
      </c>
      <c r="F6" s="965" t="s">
        <v>8</v>
      </c>
      <c r="G6" s="965" t="s">
        <v>9</v>
      </c>
      <c r="H6" s="974" t="s">
        <v>10</v>
      </c>
      <c r="I6" s="964" t="s">
        <v>11</v>
      </c>
      <c r="J6" s="965" t="s">
        <v>12</v>
      </c>
      <c r="K6" s="966" t="s">
        <v>13</v>
      </c>
      <c r="L6" s="882"/>
      <c r="M6" s="882"/>
      <c r="N6" s="961"/>
      <c r="O6" s="963"/>
      <c r="P6" s="593" t="s">
        <v>231</v>
      </c>
      <c r="Q6" s="593" t="s">
        <v>232</v>
      </c>
      <c r="R6" s="593"/>
      <c r="S6" s="598" t="s">
        <v>233</v>
      </c>
      <c r="T6" s="885"/>
      <c r="U6" s="886"/>
      <c r="V6" s="886"/>
      <c r="W6" s="890"/>
      <c r="X6" s="891"/>
      <c r="Y6" s="892"/>
      <c r="Z6" s="879"/>
      <c r="AA6" s="880"/>
      <c r="AB6" s="881"/>
      <c r="AH6" s="13"/>
    </row>
    <row r="7" spans="3:34" ht="23.25" customHeight="1" thickBot="1">
      <c r="C7" s="962"/>
      <c r="D7" s="871"/>
      <c r="E7" s="871"/>
      <c r="F7" s="871"/>
      <c r="G7" s="871"/>
      <c r="H7" s="975"/>
      <c r="I7" s="962"/>
      <c r="J7" s="871"/>
      <c r="K7" s="967"/>
      <c r="L7" s="838"/>
      <c r="M7" s="838"/>
      <c r="N7" s="962"/>
      <c r="O7" s="871"/>
      <c r="P7" s="588"/>
      <c r="Q7" s="588"/>
      <c r="R7" s="594"/>
      <c r="S7" s="599"/>
      <c r="T7" s="626" t="s">
        <v>22</v>
      </c>
      <c r="U7" s="626" t="s">
        <v>23</v>
      </c>
      <c r="V7" s="628" t="s">
        <v>13</v>
      </c>
      <c r="W7" s="617" t="s">
        <v>24</v>
      </c>
      <c r="X7" s="616" t="s">
        <v>25</v>
      </c>
      <c r="Y7" s="622" t="s">
        <v>26</v>
      </c>
      <c r="Z7" s="617" t="s">
        <v>27</v>
      </c>
      <c r="AA7" s="616" t="s">
        <v>28</v>
      </c>
      <c r="AB7" s="618" t="s">
        <v>29</v>
      </c>
      <c r="AH7" s="17"/>
    </row>
    <row r="8" spans="3:34" ht="15.75" customHeight="1">
      <c r="C8" s="102">
        <v>1</v>
      </c>
      <c r="D8" s="640" t="s">
        <v>30</v>
      </c>
      <c r="E8" t="s">
        <v>276</v>
      </c>
      <c r="F8" s="665" t="s">
        <v>254</v>
      </c>
      <c r="G8" s="18"/>
      <c r="H8" s="103"/>
      <c r="I8" s="202">
        <v>12</v>
      </c>
      <c r="J8" s="21">
        <v>12</v>
      </c>
      <c r="K8" s="610">
        <f t="shared" ref="K8:K27" si="0">IFERROR(J8/I8,0)</f>
        <v>1</v>
      </c>
      <c r="L8" s="645">
        <f>SUMIF(Total!G:G,'ATD Daily&gt; (2)'!E8,Total!K:K)</f>
        <v>84</v>
      </c>
      <c r="M8" s="646">
        <f>SUMIF(Total!G:G,'ATD Daily&gt; (2)'!E8,Total!M:M)</f>
        <v>7</v>
      </c>
      <c r="N8" s="600">
        <f>$M$2*$M$3*M8</f>
        <v>5040</v>
      </c>
      <c r="O8" s="23">
        <f>SUMIF(Total!G:G,'ATD Daily&gt; (2)'!E8,Total!N:N)</f>
        <v>5880</v>
      </c>
      <c r="P8" s="39">
        <f>IFERROR(O8/N8,0)</f>
        <v>1.1666666666666667</v>
      </c>
      <c r="Q8" s="23">
        <f>SUMIF(Total!G:G,'ATD Daily&gt; (2)'!E8,Total!P:P)</f>
        <v>450</v>
      </c>
      <c r="R8" s="595"/>
      <c r="S8" s="59">
        <f>IFERROR(Q8/O8,0)</f>
        <v>7.6530612244897961E-2</v>
      </c>
      <c r="T8" s="189">
        <f t="shared" ref="T8:T27" si="1">I8*M8*$M$1</f>
        <v>1764</v>
      </c>
      <c r="U8" s="192">
        <f>SUMIF(Total!G:G,'ATD Daily&gt; (2)'!E8,Total!P:P)</f>
        <v>450</v>
      </c>
      <c r="V8" s="627">
        <f t="shared" ref="V8:V27" si="2">IFERROR(U8/T8,0)</f>
        <v>0.25510204081632654</v>
      </c>
      <c r="W8" s="107">
        <f>U8*2000</f>
        <v>900000</v>
      </c>
      <c r="X8" s="25">
        <f>SUMIF(Total!G:G,'ATD Daily&gt; (2)'!E8,Total!T:T)</f>
        <v>844852.28</v>
      </c>
      <c r="Y8" s="623">
        <f>W8-X8</f>
        <v>55147.719999999972</v>
      </c>
      <c r="Z8" s="107">
        <f t="shared" ref="Z8:Z27" si="3">I8*M8*2000*21</f>
        <v>3528000</v>
      </c>
      <c r="AA8" s="25">
        <f>X8</f>
        <v>844852.28</v>
      </c>
      <c r="AB8" s="104">
        <f t="shared" ref="AB8:AB28" si="4">IFERROR(AA8/Z8,0)</f>
        <v>0.23947060090702948</v>
      </c>
      <c r="AD8" s="26"/>
      <c r="AH8" s="17"/>
    </row>
    <row r="9" spans="3:34" ht="15.75" customHeight="1">
      <c r="C9" s="102">
        <v>2</v>
      </c>
      <c r="D9" s="640" t="s">
        <v>30</v>
      </c>
      <c r="E9" s="640" t="s">
        <v>34</v>
      </c>
      <c r="F9" s="20"/>
      <c r="G9" s="18"/>
      <c r="H9" s="103"/>
      <c r="I9" s="202">
        <v>12</v>
      </c>
      <c r="J9" s="21">
        <v>12</v>
      </c>
      <c r="K9" s="610">
        <f t="shared" si="0"/>
        <v>1</v>
      </c>
      <c r="L9" s="607">
        <f>SUMIF(Total!G:G,'ATD Daily&gt; (2)'!E9,Total!K:K)</f>
        <v>0</v>
      </c>
      <c r="M9" s="595">
        <f>SUMIF(Total!G:G,'ATD Daily&gt; (2)'!E9,Total!M:M)</f>
        <v>0</v>
      </c>
      <c r="N9" s="600">
        <f t="shared" ref="N9:N27" si="5">$M$2*$M$3*M9</f>
        <v>0</v>
      </c>
      <c r="O9" s="23">
        <f>SUMIF(Total!G:G,'ATD Daily&gt; (2)'!E9,Total!N:N)</f>
        <v>0</v>
      </c>
      <c r="P9" s="39">
        <f t="shared" ref="P9:P27" si="6">IFERROR(O9/N9,0)</f>
        <v>0</v>
      </c>
      <c r="Q9" s="23">
        <f>SUMIF(Total!G:G,'ATD Daily&gt; (2)'!E9,Total!P:P)</f>
        <v>0</v>
      </c>
      <c r="R9" s="595"/>
      <c r="S9" s="59">
        <f t="shared" ref="S9:S27" si="7">IFERROR(Q9/O9,0)</f>
        <v>0</v>
      </c>
      <c r="T9" s="105">
        <f t="shared" si="1"/>
        <v>0</v>
      </c>
      <c r="U9" s="18">
        <f>SUMIF(Total!G:G,'ATD Daily&gt; (2)'!E9,Total!P:P)</f>
        <v>0</v>
      </c>
      <c r="V9" s="619">
        <f t="shared" si="2"/>
        <v>0</v>
      </c>
      <c r="W9" s="107">
        <f t="shared" ref="W9:W27" si="8">U9*2000</f>
        <v>0</v>
      </c>
      <c r="X9" s="25">
        <f>SUMIF(Total!G:G,'ATD Daily&gt; (2)'!E9,Total!T:T)</f>
        <v>0</v>
      </c>
      <c r="Y9" s="623">
        <f t="shared" ref="Y9:Y27" si="9">W9-X9</f>
        <v>0</v>
      </c>
      <c r="Z9" s="107">
        <f t="shared" si="3"/>
        <v>0</v>
      </c>
      <c r="AA9" s="25">
        <f t="shared" ref="AA9:AA27" si="10">X9</f>
        <v>0</v>
      </c>
      <c r="AB9" s="104">
        <f t="shared" si="4"/>
        <v>0</v>
      </c>
      <c r="AH9" s="17"/>
    </row>
    <row r="10" spans="3:34" ht="15.75" customHeight="1">
      <c r="C10" s="102">
        <v>3</v>
      </c>
      <c r="D10" s="640" t="s">
        <v>30</v>
      </c>
      <c r="E10" s="640" t="s">
        <v>36</v>
      </c>
      <c r="F10" s="20"/>
      <c r="G10" s="18"/>
      <c r="H10" s="103"/>
      <c r="I10" s="202">
        <v>12</v>
      </c>
      <c r="J10" s="21">
        <v>12</v>
      </c>
      <c r="K10" s="610">
        <f t="shared" si="0"/>
        <v>1</v>
      </c>
      <c r="L10" s="607">
        <f>SUMIF(Total!G:G,'ATD Daily&gt; (2)'!E10,Total!K:K)</f>
        <v>120</v>
      </c>
      <c r="M10" s="595">
        <f>SUMIF(Total!G:G,'ATD Daily&gt; (2)'!E10,Total!M:M)</f>
        <v>10</v>
      </c>
      <c r="N10" s="600">
        <f t="shared" si="5"/>
        <v>7200</v>
      </c>
      <c r="O10" s="23">
        <f>SUMIF(Total!G:G,'ATD Daily&gt; (2)'!E10,Total!N:N)</f>
        <v>8400</v>
      </c>
      <c r="P10" s="39">
        <f t="shared" si="6"/>
        <v>1.1666666666666667</v>
      </c>
      <c r="Q10" s="23">
        <f>SUMIF(Total!G:G,'ATD Daily&gt; (2)'!E10,Total!P:P)</f>
        <v>1477</v>
      </c>
      <c r="R10" s="595"/>
      <c r="S10" s="59">
        <f t="shared" si="7"/>
        <v>0.17583333333333334</v>
      </c>
      <c r="T10" s="105">
        <f t="shared" si="1"/>
        <v>2520</v>
      </c>
      <c r="U10" s="18">
        <f>SUMIF(Total!G:G,'ATD Daily&gt; (2)'!E10,Total!P:P)</f>
        <v>1477</v>
      </c>
      <c r="V10" s="619">
        <f t="shared" si="2"/>
        <v>0.58611111111111114</v>
      </c>
      <c r="W10" s="107">
        <f t="shared" si="8"/>
        <v>2954000</v>
      </c>
      <c r="X10" s="25">
        <f>SUMIF(Total!G:G,'ATD Daily&gt; (2)'!E10,Total!T:T)</f>
        <v>2792792</v>
      </c>
      <c r="Y10" s="623">
        <f t="shared" si="9"/>
        <v>161208</v>
      </c>
      <c r="Z10" s="107">
        <f t="shared" si="3"/>
        <v>5040000</v>
      </c>
      <c r="AA10" s="25">
        <f t="shared" si="10"/>
        <v>2792792</v>
      </c>
      <c r="AB10" s="104">
        <f t="shared" si="4"/>
        <v>0.55412539682539685</v>
      </c>
    </row>
    <row r="11" spans="3:34" ht="15.75" customHeight="1">
      <c r="C11" s="102">
        <v>4</v>
      </c>
      <c r="D11" s="640" t="s">
        <v>30</v>
      </c>
      <c r="E11" s="640" t="s">
        <v>38</v>
      </c>
      <c r="F11" s="587" t="s">
        <v>255</v>
      </c>
      <c r="G11" s="18"/>
      <c r="H11" s="103"/>
      <c r="I11" s="202">
        <v>12</v>
      </c>
      <c r="J11" s="21">
        <v>12</v>
      </c>
      <c r="K11" s="610">
        <f t="shared" si="0"/>
        <v>1</v>
      </c>
      <c r="L11" s="607">
        <f>SUMIF(Total!G:G,'ATD Daily&gt; (2)'!E11,Total!K:K)</f>
        <v>108</v>
      </c>
      <c r="M11" s="595">
        <f>SUMIF(Total!G:G,'ATD Daily&gt; (2)'!E11,Total!M:M)</f>
        <v>9</v>
      </c>
      <c r="N11" s="600">
        <f t="shared" si="5"/>
        <v>6480</v>
      </c>
      <c r="O11" s="23">
        <f>SUMIF(Total!G:G,'ATD Daily&gt; (2)'!E11,Total!N:N)</f>
        <v>7560</v>
      </c>
      <c r="P11" s="39">
        <f t="shared" si="6"/>
        <v>1.1666666666666667</v>
      </c>
      <c r="Q11" s="23">
        <f>SUMIF(Total!G:G,'ATD Daily&gt; (2)'!E11,Total!P:P)</f>
        <v>674</v>
      </c>
      <c r="R11" s="595"/>
      <c r="S11" s="59">
        <f t="shared" si="7"/>
        <v>8.9153439153439151E-2</v>
      </c>
      <c r="T11" s="105">
        <f t="shared" si="1"/>
        <v>2268</v>
      </c>
      <c r="U11" s="18">
        <f>SUMIF(Total!G:G,'ATD Daily&gt; (2)'!E11,Total!P:P)</f>
        <v>674</v>
      </c>
      <c r="V11" s="619">
        <f t="shared" si="2"/>
        <v>0.29717813051146386</v>
      </c>
      <c r="W11" s="107">
        <f t="shared" si="8"/>
        <v>1348000</v>
      </c>
      <c r="X11" s="25">
        <f>SUMIF(Total!G:G,'ATD Daily&gt; (2)'!E11,Total!T:T)</f>
        <v>1272512</v>
      </c>
      <c r="Y11" s="623">
        <f t="shared" si="9"/>
        <v>75488</v>
      </c>
      <c r="Z11" s="107">
        <f t="shared" si="3"/>
        <v>4536000</v>
      </c>
      <c r="AA11" s="25">
        <f t="shared" si="10"/>
        <v>1272512</v>
      </c>
      <c r="AB11" s="104">
        <f t="shared" si="4"/>
        <v>0.28053615520282188</v>
      </c>
    </row>
    <row r="12" spans="3:34" ht="15.75" customHeight="1">
      <c r="C12" s="102">
        <v>5</v>
      </c>
      <c r="D12" s="640" t="s">
        <v>30</v>
      </c>
      <c r="E12" s="640" t="s">
        <v>39</v>
      </c>
      <c r="F12" s="20"/>
      <c r="G12" s="18"/>
      <c r="H12" s="103"/>
      <c r="I12" s="202">
        <v>12</v>
      </c>
      <c r="J12" s="21">
        <v>12</v>
      </c>
      <c r="K12" s="610">
        <f t="shared" si="0"/>
        <v>1</v>
      </c>
      <c r="L12" s="607">
        <f>SUMIF(Total!G:G,'ATD Daily&gt; (2)'!E12,Total!K:K)</f>
        <v>192</v>
      </c>
      <c r="M12" s="595">
        <f>SUMIF(Total!G:G,'ATD Daily&gt; (2)'!E12,Total!M:M)</f>
        <v>16</v>
      </c>
      <c r="N12" s="600">
        <f t="shared" si="5"/>
        <v>11520</v>
      </c>
      <c r="O12" s="23">
        <f>SUMIF(Total!G:G,'ATD Daily&gt; (2)'!E12,Total!N:N)</f>
        <v>13440</v>
      </c>
      <c r="P12" s="39">
        <f t="shared" si="6"/>
        <v>1.1666666666666667</v>
      </c>
      <c r="Q12" s="23">
        <f>SUMIF(Total!G:G,'ATD Daily&gt; (2)'!E12,Total!P:P)</f>
        <v>3399</v>
      </c>
      <c r="R12" s="595"/>
      <c r="S12" s="59">
        <f t="shared" si="7"/>
        <v>0.25290178571428573</v>
      </c>
      <c r="T12" s="105">
        <f t="shared" si="1"/>
        <v>4032</v>
      </c>
      <c r="U12" s="18">
        <f>SUMIF(Total!G:G,'ATD Daily&gt; (2)'!E12,Total!P:P)</f>
        <v>3399</v>
      </c>
      <c r="V12" s="619">
        <f t="shared" si="2"/>
        <v>0.84300595238095233</v>
      </c>
      <c r="W12" s="107">
        <f t="shared" si="8"/>
        <v>6798000</v>
      </c>
      <c r="X12" s="25">
        <f>SUMIF(Total!G:G,'ATD Daily&gt; (2)'!E12,Total!T:T)</f>
        <v>6476896</v>
      </c>
      <c r="Y12" s="623">
        <f t="shared" si="9"/>
        <v>321104</v>
      </c>
      <c r="Z12" s="107">
        <f t="shared" si="3"/>
        <v>8064000</v>
      </c>
      <c r="AA12" s="25">
        <f t="shared" si="10"/>
        <v>6476896</v>
      </c>
      <c r="AB12" s="104">
        <f t="shared" si="4"/>
        <v>0.80318650793650792</v>
      </c>
    </row>
    <row r="13" spans="3:34" ht="15.75" customHeight="1">
      <c r="C13" s="102">
        <v>6</v>
      </c>
      <c r="D13" s="640" t="s">
        <v>41</v>
      </c>
      <c r="E13" s="640" t="s">
        <v>42</v>
      </c>
      <c r="F13" s="20"/>
      <c r="G13" s="18"/>
      <c r="H13" s="103"/>
      <c r="I13" s="202">
        <v>12</v>
      </c>
      <c r="J13" s="21">
        <v>12</v>
      </c>
      <c r="K13" s="610">
        <f t="shared" si="0"/>
        <v>1</v>
      </c>
      <c r="L13" s="607">
        <f>SUMIF(Total!G:G,'ATD Daily&gt; (2)'!E13,Total!K:K)</f>
        <v>12</v>
      </c>
      <c r="M13" s="595">
        <f>SUMIF(Total!G:G,'ATD Daily&gt; (2)'!E13,Total!M:M)</f>
        <v>1</v>
      </c>
      <c r="N13" s="600">
        <f t="shared" si="5"/>
        <v>720</v>
      </c>
      <c r="O13" s="23">
        <f>SUMIF(Total!G:G,'ATD Daily&gt; (2)'!E13,Total!N:N)</f>
        <v>840</v>
      </c>
      <c r="P13" s="39">
        <f t="shared" si="6"/>
        <v>1.1666666666666667</v>
      </c>
      <c r="Q13" s="23">
        <f>SUMIF(Total!G:G,'ATD Daily&gt; (2)'!E13,Total!P:P)</f>
        <v>53</v>
      </c>
      <c r="R13" s="595"/>
      <c r="S13" s="59">
        <f t="shared" si="7"/>
        <v>6.3095238095238093E-2</v>
      </c>
      <c r="T13" s="105">
        <f t="shared" si="1"/>
        <v>252</v>
      </c>
      <c r="U13" s="18">
        <f>SUMIF(Total!G:G,'ATD Daily&gt; (2)'!E13,Total!P:P)</f>
        <v>53</v>
      </c>
      <c r="V13" s="619">
        <f t="shared" si="2"/>
        <v>0.21031746031746032</v>
      </c>
      <c r="W13" s="107">
        <f t="shared" si="8"/>
        <v>106000</v>
      </c>
      <c r="X13" s="25">
        <f>SUMIF(Total!G:G,'ATD Daily&gt; (2)'!E13,Total!T:T)</f>
        <v>100064</v>
      </c>
      <c r="Y13" s="623">
        <f t="shared" si="9"/>
        <v>5936</v>
      </c>
      <c r="Z13" s="107">
        <f t="shared" si="3"/>
        <v>504000</v>
      </c>
      <c r="AA13" s="25">
        <f t="shared" si="10"/>
        <v>100064</v>
      </c>
      <c r="AB13" s="104">
        <f t="shared" si="4"/>
        <v>0.19853968253968254</v>
      </c>
    </row>
    <row r="14" spans="3:34" ht="15.75" customHeight="1">
      <c r="C14" s="102">
        <v>7</v>
      </c>
      <c r="D14" s="640" t="s">
        <v>41</v>
      </c>
      <c r="E14" s="640" t="s">
        <v>44</v>
      </c>
      <c r="F14" s="20"/>
      <c r="G14" s="18"/>
      <c r="H14" s="103"/>
      <c r="I14" s="202">
        <v>12</v>
      </c>
      <c r="J14" s="21">
        <v>12</v>
      </c>
      <c r="K14" s="610">
        <f t="shared" si="0"/>
        <v>1</v>
      </c>
      <c r="L14" s="607">
        <f>SUMIF(Total!G:G,'ATD Daily&gt; (2)'!E14,Total!K:K)</f>
        <v>168</v>
      </c>
      <c r="M14" s="595">
        <f>SUMIF(Total!G:G,'ATD Daily&gt; (2)'!E14,Total!M:M)</f>
        <v>14</v>
      </c>
      <c r="N14" s="600">
        <f t="shared" si="5"/>
        <v>10080</v>
      </c>
      <c r="O14" s="23">
        <f>SUMIF(Total!G:G,'ATD Daily&gt; (2)'!E14,Total!N:N)</f>
        <v>11760</v>
      </c>
      <c r="P14" s="39">
        <f t="shared" si="6"/>
        <v>1.1666666666666667</v>
      </c>
      <c r="Q14" s="23">
        <f>SUMIF(Total!G:G,'ATD Daily&gt; (2)'!E14,Total!P:P)</f>
        <v>2337</v>
      </c>
      <c r="R14" s="595"/>
      <c r="S14" s="59">
        <f t="shared" si="7"/>
        <v>0.19872448979591836</v>
      </c>
      <c r="T14" s="105">
        <f t="shared" si="1"/>
        <v>3528</v>
      </c>
      <c r="U14" s="18">
        <f>SUMIF(Total!G:G,'ATD Daily&gt; (2)'!E14,Total!P:P)</f>
        <v>2337</v>
      </c>
      <c r="V14" s="619">
        <f t="shared" si="2"/>
        <v>0.6624149659863946</v>
      </c>
      <c r="W14" s="107">
        <f t="shared" si="8"/>
        <v>4674000</v>
      </c>
      <c r="X14" s="25">
        <f>SUMIF(Total!G:G,'ATD Daily&gt; (2)'!E14,Total!T:T)</f>
        <v>4440480</v>
      </c>
      <c r="Y14" s="623">
        <f t="shared" si="9"/>
        <v>233520</v>
      </c>
      <c r="Z14" s="107">
        <f t="shared" si="3"/>
        <v>7056000</v>
      </c>
      <c r="AA14" s="25">
        <f t="shared" si="10"/>
        <v>4440480</v>
      </c>
      <c r="AB14" s="104">
        <f t="shared" si="4"/>
        <v>0.62931972789115642</v>
      </c>
    </row>
    <row r="15" spans="3:34" ht="15.75" customHeight="1">
      <c r="C15" s="102">
        <v>8</v>
      </c>
      <c r="D15" s="640" t="s">
        <v>41</v>
      </c>
      <c r="E15" s="640" t="s">
        <v>46</v>
      </c>
      <c r="F15" s="20"/>
      <c r="G15" s="18"/>
      <c r="H15" s="604"/>
      <c r="I15" s="202"/>
      <c r="J15" s="21"/>
      <c r="K15" s="610">
        <f t="shared" si="0"/>
        <v>0</v>
      </c>
      <c r="L15" s="607">
        <f>SUMIF(Total!G:G,'ATD Daily&gt; (2)'!E15,Total!K:K)</f>
        <v>0</v>
      </c>
      <c r="M15" s="595">
        <f>SUMIF(Total!G:G,'ATD Daily&gt; (2)'!E15,Total!M:M)</f>
        <v>0</v>
      </c>
      <c r="N15" s="600">
        <f t="shared" si="5"/>
        <v>0</v>
      </c>
      <c r="O15" s="23">
        <f>SUMIF(Total!G:G,'ATD Daily&gt; (2)'!E15,Total!N:N)</f>
        <v>0</v>
      </c>
      <c r="P15" s="39">
        <f t="shared" si="6"/>
        <v>0</v>
      </c>
      <c r="Q15" s="23">
        <f>SUMIF(Total!G:G,'ATD Daily&gt; (2)'!E15,Total!P:P)</f>
        <v>0</v>
      </c>
      <c r="R15" s="595"/>
      <c r="S15" s="59">
        <f t="shared" si="7"/>
        <v>0</v>
      </c>
      <c r="T15" s="105">
        <f t="shared" si="1"/>
        <v>0</v>
      </c>
      <c r="U15" s="18">
        <f>SUMIF(Total!G:G,'ATD Daily&gt; (2)'!E15,Total!P:P)</f>
        <v>0</v>
      </c>
      <c r="V15" s="619">
        <f t="shared" si="2"/>
        <v>0</v>
      </c>
      <c r="W15" s="107">
        <f t="shared" si="8"/>
        <v>0</v>
      </c>
      <c r="X15" s="25">
        <f>SUMIF(Total!G:G,'ATD Daily&gt; (2)'!E15,Total!T:T)</f>
        <v>0</v>
      </c>
      <c r="Y15" s="623">
        <f t="shared" si="9"/>
        <v>0</v>
      </c>
      <c r="Z15" s="107">
        <f t="shared" si="3"/>
        <v>0</v>
      </c>
      <c r="AA15" s="25">
        <f t="shared" si="10"/>
        <v>0</v>
      </c>
      <c r="AB15" s="104">
        <f t="shared" si="4"/>
        <v>0</v>
      </c>
    </row>
    <row r="16" spans="3:34" ht="15.75" customHeight="1">
      <c r="C16" s="102">
        <v>9</v>
      </c>
      <c r="D16" s="640" t="s">
        <v>41</v>
      </c>
      <c r="E16" s="640" t="s">
        <v>47</v>
      </c>
      <c r="F16" s="20"/>
      <c r="G16" s="18"/>
      <c r="H16" s="103"/>
      <c r="I16" s="202">
        <v>12</v>
      </c>
      <c r="J16" s="21">
        <v>12</v>
      </c>
      <c r="K16" s="610">
        <f t="shared" si="0"/>
        <v>1</v>
      </c>
      <c r="L16" s="607">
        <f>SUMIF(Total!G:G,'ATD Daily&gt; (2)'!E16,Total!K:K)</f>
        <v>120</v>
      </c>
      <c r="M16" s="595">
        <f>SUMIF(Total!G:G,'ATD Daily&gt; (2)'!E16,Total!M:M)</f>
        <v>10</v>
      </c>
      <c r="N16" s="600">
        <f t="shared" si="5"/>
        <v>7200</v>
      </c>
      <c r="O16" s="23">
        <f>SUMIF(Total!G:G,'ATD Daily&gt; (2)'!E16,Total!N:N)</f>
        <v>8400</v>
      </c>
      <c r="P16" s="39">
        <f t="shared" si="6"/>
        <v>1.1666666666666667</v>
      </c>
      <c r="Q16" s="23">
        <f>SUMIF(Total!G:G,'ATD Daily&gt; (2)'!E16,Total!P:P)</f>
        <v>2240</v>
      </c>
      <c r="R16" s="595"/>
      <c r="S16" s="59">
        <f t="shared" si="7"/>
        <v>0.26666666666666666</v>
      </c>
      <c r="T16" s="105">
        <f t="shared" si="1"/>
        <v>2520</v>
      </c>
      <c r="U16" s="18">
        <f>SUMIF(Total!G:G,'ATD Daily&gt; (2)'!E16,Total!P:P)</f>
        <v>2240</v>
      </c>
      <c r="V16" s="619">
        <f t="shared" si="2"/>
        <v>0.88888888888888884</v>
      </c>
      <c r="W16" s="107">
        <f t="shared" si="8"/>
        <v>4480000</v>
      </c>
      <c r="X16" s="25">
        <f>SUMIF(Total!G:G,'ATD Daily&gt; (2)'!E16,Total!T:T)</f>
        <v>4265211</v>
      </c>
      <c r="Y16" s="623">
        <f t="shared" si="9"/>
        <v>214789</v>
      </c>
      <c r="Z16" s="107">
        <f t="shared" si="3"/>
        <v>5040000</v>
      </c>
      <c r="AA16" s="25">
        <f t="shared" si="10"/>
        <v>4265211</v>
      </c>
      <c r="AB16" s="104">
        <f t="shared" si="4"/>
        <v>0.84627202380952382</v>
      </c>
    </row>
    <row r="17" spans="3:31" ht="15.75" customHeight="1">
      <c r="C17" s="102">
        <v>10</v>
      </c>
      <c r="D17" s="640" t="s">
        <v>41</v>
      </c>
      <c r="E17" s="640" t="s">
        <v>48</v>
      </c>
      <c r="F17" s="642" t="s">
        <v>200</v>
      </c>
      <c r="G17" s="18" t="s">
        <v>207</v>
      </c>
      <c r="H17" s="605">
        <v>46246</v>
      </c>
      <c r="I17" s="202">
        <v>12</v>
      </c>
      <c r="J17" s="21">
        <v>12</v>
      </c>
      <c r="K17" s="610">
        <f t="shared" si="0"/>
        <v>1</v>
      </c>
      <c r="L17" s="607">
        <f>SUMIF(Total!G:G,'ATD Daily&gt; (2)'!E17,Total!K:K)</f>
        <v>168</v>
      </c>
      <c r="M17" s="595">
        <f>SUMIF(Total!G:G,'ATD Daily&gt; (2)'!E17,Total!M:M)</f>
        <v>14</v>
      </c>
      <c r="N17" s="600">
        <f t="shared" si="5"/>
        <v>10080</v>
      </c>
      <c r="O17" s="23">
        <f>SUMIF(Total!G:G,'ATD Daily&gt; (2)'!E17,Total!N:N)</f>
        <v>11760</v>
      </c>
      <c r="P17" s="39">
        <f t="shared" si="6"/>
        <v>1.1666666666666667</v>
      </c>
      <c r="Q17" s="23">
        <f>SUMIF(Total!G:G,'ATD Daily&gt; (2)'!E17,Total!P:P)</f>
        <v>1756</v>
      </c>
      <c r="R17" s="595"/>
      <c r="S17" s="59">
        <f t="shared" si="7"/>
        <v>0.14931972789115647</v>
      </c>
      <c r="T17" s="105">
        <f t="shared" si="1"/>
        <v>3528</v>
      </c>
      <c r="U17" s="18">
        <f>SUMIF(Total!G:G,'ATD Daily&gt; (2)'!E17,Total!P:P)</f>
        <v>1756</v>
      </c>
      <c r="V17" s="619">
        <f t="shared" si="2"/>
        <v>0.49773242630385489</v>
      </c>
      <c r="W17" s="107">
        <f t="shared" si="8"/>
        <v>3512000</v>
      </c>
      <c r="X17" s="25">
        <f>SUMIF(Total!G:G,'ATD Daily&gt; (2)'!E17,Total!T:T)</f>
        <v>3315328</v>
      </c>
      <c r="Y17" s="623">
        <f t="shared" si="9"/>
        <v>196672</v>
      </c>
      <c r="Z17" s="107">
        <f t="shared" si="3"/>
        <v>7056000</v>
      </c>
      <c r="AA17" s="25">
        <f t="shared" si="10"/>
        <v>3315328</v>
      </c>
      <c r="AB17" s="104">
        <f t="shared" si="4"/>
        <v>0.46985941043083901</v>
      </c>
    </row>
    <row r="18" spans="3:31" ht="15.75" customHeight="1">
      <c r="C18" s="102">
        <v>11</v>
      </c>
      <c r="D18" s="640" t="s">
        <v>41</v>
      </c>
      <c r="E18" s="640" t="s">
        <v>50</v>
      </c>
      <c r="F18" s="642" t="s">
        <v>51</v>
      </c>
      <c r="G18" s="18" t="s">
        <v>205</v>
      </c>
      <c r="H18" s="605">
        <v>46245</v>
      </c>
      <c r="I18" s="202">
        <v>12</v>
      </c>
      <c r="J18" s="21">
        <v>12</v>
      </c>
      <c r="K18" s="610">
        <f t="shared" si="0"/>
        <v>1</v>
      </c>
      <c r="L18" s="607">
        <f>SUMIF(Total!G:G,'ATD Daily&gt; (2)'!E18,Total!K:K)</f>
        <v>144</v>
      </c>
      <c r="M18" s="595">
        <f>SUMIF(Total!G:G,'ATD Daily&gt; (2)'!E18,Total!M:M)</f>
        <v>12</v>
      </c>
      <c r="N18" s="600">
        <f t="shared" si="5"/>
        <v>8640</v>
      </c>
      <c r="O18" s="23">
        <f>SUMIF(Total!G:G,'ATD Daily&gt; (2)'!E18,Total!N:N)</f>
        <v>10080</v>
      </c>
      <c r="P18" s="39">
        <f t="shared" si="6"/>
        <v>1.1666666666666667</v>
      </c>
      <c r="Q18" s="23">
        <f>SUMIF(Total!G:G,'ATD Daily&gt; (2)'!E18,Total!P:P)</f>
        <v>1326</v>
      </c>
      <c r="R18" s="595"/>
      <c r="S18" s="59">
        <f t="shared" si="7"/>
        <v>0.13154761904761905</v>
      </c>
      <c r="T18" s="105">
        <f t="shared" si="1"/>
        <v>3024</v>
      </c>
      <c r="U18" s="18">
        <f>SUMIF(Total!G:G,'ATD Daily&gt; (2)'!E18,Total!P:P)</f>
        <v>1326</v>
      </c>
      <c r="V18" s="619">
        <f t="shared" si="2"/>
        <v>0.43849206349206349</v>
      </c>
      <c r="W18" s="107">
        <f t="shared" si="8"/>
        <v>2652000</v>
      </c>
      <c r="X18" s="25">
        <f>SUMIF(Total!G:G,'ATD Daily&gt; (2)'!E18,Total!T:T)</f>
        <v>2513980</v>
      </c>
      <c r="Y18" s="623">
        <f t="shared" si="9"/>
        <v>138020</v>
      </c>
      <c r="Z18" s="107">
        <f t="shared" si="3"/>
        <v>6048000</v>
      </c>
      <c r="AA18" s="25">
        <f t="shared" si="10"/>
        <v>2513980</v>
      </c>
      <c r="AB18" s="104">
        <f t="shared" si="4"/>
        <v>0.41567129629629629</v>
      </c>
      <c r="AE18" s="29"/>
    </row>
    <row r="19" spans="3:31" ht="16.5" customHeight="1">
      <c r="C19" s="102">
        <v>12</v>
      </c>
      <c r="D19" s="640" t="s">
        <v>52</v>
      </c>
      <c r="E19" s="640" t="s">
        <v>53</v>
      </c>
      <c r="F19" s="643"/>
      <c r="G19" s="18"/>
      <c r="H19" s="103"/>
      <c r="I19" s="202"/>
      <c r="J19" s="21"/>
      <c r="K19" s="610">
        <f t="shared" si="0"/>
        <v>0</v>
      </c>
      <c r="L19" s="607">
        <f>SUMIF(Total!G:G,'ATD Daily&gt; (2)'!E19,Total!K:K)</f>
        <v>0</v>
      </c>
      <c r="M19" s="595">
        <f>SUMIF(Total!G:G,'ATD Daily&gt; (2)'!E19,Total!M:M)</f>
        <v>0</v>
      </c>
      <c r="N19" s="600">
        <f t="shared" si="5"/>
        <v>0</v>
      </c>
      <c r="O19" s="23">
        <f>SUMIF(Total!G:G,'ATD Daily&gt; (2)'!E19,Total!N:N)</f>
        <v>0</v>
      </c>
      <c r="P19" s="39">
        <f t="shared" si="6"/>
        <v>0</v>
      </c>
      <c r="Q19" s="23">
        <f>SUMIF(Total!G:G,'ATD Daily&gt; (2)'!E19,Total!P:P)</f>
        <v>0</v>
      </c>
      <c r="R19" s="595"/>
      <c r="S19" s="59">
        <f t="shared" si="7"/>
        <v>0</v>
      </c>
      <c r="T19" s="105">
        <f t="shared" si="1"/>
        <v>0</v>
      </c>
      <c r="U19" s="18">
        <f>SUMIF(Total!G:G,'ATD Daily&gt; (2)'!E19,Total!P:P)</f>
        <v>0</v>
      </c>
      <c r="V19" s="620">
        <f t="shared" si="2"/>
        <v>0</v>
      </c>
      <c r="W19" s="107">
        <f t="shared" si="8"/>
        <v>0</v>
      </c>
      <c r="X19" s="25">
        <f>SUMIF(Total!G:G,'ATD Daily&gt; (2)'!E19,Total!T:T)</f>
        <v>0</v>
      </c>
      <c r="Y19" s="623">
        <f t="shared" si="9"/>
        <v>0</v>
      </c>
      <c r="Z19" s="107">
        <f t="shared" si="3"/>
        <v>0</v>
      </c>
      <c r="AA19" s="25">
        <f t="shared" si="10"/>
        <v>0</v>
      </c>
      <c r="AB19" s="610">
        <f t="shared" si="4"/>
        <v>0</v>
      </c>
    </row>
    <row r="20" spans="3:31" ht="16.5" customHeight="1">
      <c r="C20" s="102">
        <v>13</v>
      </c>
      <c r="D20" s="640" t="s">
        <v>52</v>
      </c>
      <c r="E20" s="640" t="s">
        <v>55</v>
      </c>
      <c r="F20" s="643"/>
      <c r="G20" s="18"/>
      <c r="H20" s="103"/>
      <c r="I20" s="202"/>
      <c r="J20" s="21"/>
      <c r="K20" s="610">
        <f t="shared" si="0"/>
        <v>0</v>
      </c>
      <c r="L20" s="607">
        <f>SUMIF(Total!G:G,'ATD Daily&gt; (2)'!E20,Total!K:K)</f>
        <v>0</v>
      </c>
      <c r="M20" s="595">
        <f>SUMIF(Total!G:G,'ATD Daily&gt; (2)'!E20,Total!M:M)</f>
        <v>0</v>
      </c>
      <c r="N20" s="600">
        <f t="shared" si="5"/>
        <v>0</v>
      </c>
      <c r="O20" s="23">
        <f>SUMIF(Total!G:G,'ATD Daily&gt; (2)'!E20,Total!N:N)</f>
        <v>0</v>
      </c>
      <c r="P20" s="39">
        <f t="shared" si="6"/>
        <v>0</v>
      </c>
      <c r="Q20" s="23">
        <f>SUMIF(Total!G:G,'ATD Daily&gt; (2)'!E20,Total!P:P)</f>
        <v>0</v>
      </c>
      <c r="R20" s="595"/>
      <c r="S20" s="59">
        <f t="shared" si="7"/>
        <v>0</v>
      </c>
      <c r="T20" s="105">
        <f t="shared" si="1"/>
        <v>0</v>
      </c>
      <c r="U20" s="18">
        <f>SUMIF(Total!G:G,'ATD Daily&gt; (2)'!E20,Total!P:P)</f>
        <v>0</v>
      </c>
      <c r="V20" s="620">
        <f t="shared" si="2"/>
        <v>0</v>
      </c>
      <c r="W20" s="107">
        <f t="shared" si="8"/>
        <v>0</v>
      </c>
      <c r="X20" s="25">
        <f>SUMIF(Total!G:G,'ATD Daily&gt; (2)'!E20,Total!T:T)</f>
        <v>0</v>
      </c>
      <c r="Y20" s="623">
        <f t="shared" si="9"/>
        <v>0</v>
      </c>
      <c r="Z20" s="107">
        <f t="shared" si="3"/>
        <v>0</v>
      </c>
      <c r="AA20" s="25">
        <f t="shared" si="10"/>
        <v>0</v>
      </c>
      <c r="AB20" s="610">
        <f t="shared" si="4"/>
        <v>0</v>
      </c>
    </row>
    <row r="21" spans="3:31" ht="16.5" customHeight="1">
      <c r="C21" s="102">
        <v>14</v>
      </c>
      <c r="D21" s="640" t="s">
        <v>52</v>
      </c>
      <c r="E21" s="641" t="s">
        <v>57</v>
      </c>
      <c r="F21" s="643"/>
      <c r="G21" s="18"/>
      <c r="H21" s="103"/>
      <c r="I21" s="202"/>
      <c r="J21" s="21"/>
      <c r="K21" s="610">
        <f t="shared" si="0"/>
        <v>0</v>
      </c>
      <c r="L21" s="607">
        <f>SUMIF(Total!G:G,'ATD Daily&gt; (2)'!E21,Total!K:K)</f>
        <v>0</v>
      </c>
      <c r="M21" s="595">
        <f>SUMIF(Total!G:G,'ATD Daily&gt; (2)'!E21,Total!M:M)</f>
        <v>0</v>
      </c>
      <c r="N21" s="600">
        <f t="shared" si="5"/>
        <v>0</v>
      </c>
      <c r="O21" s="23">
        <f>SUMIF(Total!G:G,'ATD Daily&gt; (2)'!E21,Total!N:N)</f>
        <v>0</v>
      </c>
      <c r="P21" s="39">
        <f t="shared" si="6"/>
        <v>0</v>
      </c>
      <c r="Q21" s="23">
        <f>SUMIF(Total!G:G,'ATD Daily&gt; (2)'!E21,Total!P:P)</f>
        <v>0</v>
      </c>
      <c r="R21" s="595"/>
      <c r="S21" s="59">
        <f t="shared" si="7"/>
        <v>0</v>
      </c>
      <c r="T21" s="105">
        <f t="shared" si="1"/>
        <v>0</v>
      </c>
      <c r="U21" s="18">
        <f>SUMIF(Total!G:G,'ATD Daily&gt; (2)'!E21,Total!P:P)</f>
        <v>0</v>
      </c>
      <c r="V21" s="620">
        <f t="shared" si="2"/>
        <v>0</v>
      </c>
      <c r="W21" s="107">
        <f t="shared" si="8"/>
        <v>0</v>
      </c>
      <c r="X21" s="25">
        <f>SUMIF(Total!G:G,'ATD Daily&gt; (2)'!E21,Total!T:T)</f>
        <v>0</v>
      </c>
      <c r="Y21" s="623">
        <f t="shared" si="9"/>
        <v>0</v>
      </c>
      <c r="Z21" s="107">
        <f t="shared" si="3"/>
        <v>0</v>
      </c>
      <c r="AA21" s="25">
        <f t="shared" si="10"/>
        <v>0</v>
      </c>
      <c r="AB21" s="610">
        <f t="shared" si="4"/>
        <v>0</v>
      </c>
    </row>
    <row r="22" spans="3:31" ht="16.5" customHeight="1">
      <c r="C22" s="102">
        <v>15</v>
      </c>
      <c r="D22" s="640" t="s">
        <v>52</v>
      </c>
      <c r="E22" s="640" t="s">
        <v>59</v>
      </c>
      <c r="F22" s="644"/>
      <c r="G22" s="18"/>
      <c r="H22" s="604"/>
      <c r="I22" s="202"/>
      <c r="J22" s="21"/>
      <c r="K22" s="610">
        <f t="shared" si="0"/>
        <v>0</v>
      </c>
      <c r="L22" s="607">
        <f>SUMIF(Total!G:G,'ATD Daily&gt; (2)'!E22,Total!K:K)</f>
        <v>0</v>
      </c>
      <c r="M22" s="595">
        <f>SUMIF(Total!G:G,'ATD Daily&gt; (2)'!E22,Total!M:M)</f>
        <v>0</v>
      </c>
      <c r="N22" s="600">
        <f t="shared" si="5"/>
        <v>0</v>
      </c>
      <c r="O22" s="23">
        <f>SUMIF(Total!G:G,'ATD Daily&gt; (2)'!E22,Total!N:N)</f>
        <v>0</v>
      </c>
      <c r="P22" s="39">
        <f t="shared" si="6"/>
        <v>0</v>
      </c>
      <c r="Q22" s="23">
        <f>SUMIF(Total!G:G,'ATD Daily&gt; (2)'!E22,Total!P:P)</f>
        <v>0</v>
      </c>
      <c r="R22" s="595"/>
      <c r="S22" s="59">
        <f t="shared" si="7"/>
        <v>0</v>
      </c>
      <c r="T22" s="105">
        <f t="shared" si="1"/>
        <v>0</v>
      </c>
      <c r="U22" s="18">
        <f>SUMIF(Total!G:G,'ATD Daily&gt; (2)'!E22,Total!P:P)</f>
        <v>0</v>
      </c>
      <c r="V22" s="620">
        <f t="shared" si="2"/>
        <v>0</v>
      </c>
      <c r="W22" s="107">
        <f t="shared" si="8"/>
        <v>0</v>
      </c>
      <c r="X22" s="25">
        <f>SUMIF(Total!G:G,'ATD Daily&gt; (2)'!E22,Total!T:T)</f>
        <v>0</v>
      </c>
      <c r="Y22" s="623">
        <f t="shared" si="9"/>
        <v>0</v>
      </c>
      <c r="Z22" s="107">
        <f t="shared" si="3"/>
        <v>0</v>
      </c>
      <c r="AA22" s="25">
        <f t="shared" si="10"/>
        <v>0</v>
      </c>
      <c r="AB22" s="610">
        <f t="shared" si="4"/>
        <v>0</v>
      </c>
    </row>
    <row r="23" spans="3:31" ht="16.5" customHeight="1">
      <c r="C23" s="102">
        <v>16</v>
      </c>
      <c r="D23" s="640" t="s">
        <v>61</v>
      </c>
      <c r="E23" s="640" t="s">
        <v>262</v>
      </c>
      <c r="F23" s="643"/>
      <c r="G23" s="18"/>
      <c r="H23" s="103"/>
      <c r="I23" s="202">
        <v>12</v>
      </c>
      <c r="J23" s="21">
        <v>12</v>
      </c>
      <c r="K23" s="610">
        <f t="shared" si="0"/>
        <v>1</v>
      </c>
      <c r="L23" s="607">
        <f>SUMIF(Total!G:G,'ATD Daily&gt; (2)'!E23,Total!K:K)</f>
        <v>120</v>
      </c>
      <c r="M23" s="595">
        <f>SUMIF(Total!G:G,'ATD Daily&gt; (2)'!E23,Total!M:M)</f>
        <v>10</v>
      </c>
      <c r="N23" s="600">
        <f t="shared" si="5"/>
        <v>7200</v>
      </c>
      <c r="O23" s="23">
        <f>SUMIF(Total!G:G,'ATD Daily&gt; (2)'!E23,Total!N:N)</f>
        <v>8400</v>
      </c>
      <c r="P23" s="39">
        <f t="shared" si="6"/>
        <v>1.1666666666666667</v>
      </c>
      <c r="Q23" s="23">
        <f>SUMIF(Total!G:G,'ATD Daily&gt; (2)'!E23,Total!P:P)</f>
        <v>975</v>
      </c>
      <c r="R23" s="595"/>
      <c r="S23" s="59">
        <f t="shared" si="7"/>
        <v>0.11607142857142858</v>
      </c>
      <c r="T23" s="105">
        <f t="shared" si="1"/>
        <v>2520</v>
      </c>
      <c r="U23" s="18">
        <f>SUMIF(Total!G:G,'ATD Daily&gt; (2)'!E23,Total!P:P)</f>
        <v>975</v>
      </c>
      <c r="V23" s="620">
        <f t="shared" si="2"/>
        <v>0.38690476190476192</v>
      </c>
      <c r="W23" s="107">
        <f t="shared" si="8"/>
        <v>1950000</v>
      </c>
      <c r="X23" s="25">
        <f>SUMIF(Total!G:G,'ATD Daily&gt; (2)'!E23,Total!T:T)</f>
        <v>1851711</v>
      </c>
      <c r="Y23" s="623">
        <f t="shared" si="9"/>
        <v>98289</v>
      </c>
      <c r="Z23" s="107">
        <f t="shared" si="3"/>
        <v>5040000</v>
      </c>
      <c r="AA23" s="25">
        <f t="shared" si="10"/>
        <v>1851711</v>
      </c>
      <c r="AB23" s="610">
        <f t="shared" si="4"/>
        <v>0.36740297619047618</v>
      </c>
    </row>
    <row r="24" spans="3:31" ht="16.5" customHeight="1">
      <c r="C24" s="102">
        <v>17</v>
      </c>
      <c r="D24" s="640" t="s">
        <v>61</v>
      </c>
      <c r="E24" s="640" t="s">
        <v>274</v>
      </c>
      <c r="F24" s="643"/>
      <c r="G24" s="18"/>
      <c r="H24" s="103"/>
      <c r="I24" s="202">
        <v>12</v>
      </c>
      <c r="J24" s="21">
        <v>12</v>
      </c>
      <c r="K24" s="610">
        <f t="shared" si="0"/>
        <v>1</v>
      </c>
      <c r="L24" s="607">
        <f>SUMIF(Total!G:G,'ATD Daily&gt; (2)'!E24,Total!K:K)</f>
        <v>204</v>
      </c>
      <c r="M24" s="595">
        <f>SUMIF(Total!G:G,'ATD Daily&gt; (2)'!E24,Total!M:M)</f>
        <v>17</v>
      </c>
      <c r="N24" s="600">
        <f t="shared" si="5"/>
        <v>12240</v>
      </c>
      <c r="O24" s="23">
        <f>SUMIF(Total!G:G,'ATD Daily&gt; (2)'!E24,Total!N:N)</f>
        <v>14280</v>
      </c>
      <c r="P24" s="39">
        <f t="shared" si="6"/>
        <v>1.1666666666666667</v>
      </c>
      <c r="Q24" s="23">
        <f>SUMIF(Total!G:G,'ATD Daily&gt; (2)'!E24,Total!P:P)</f>
        <v>3804</v>
      </c>
      <c r="R24" s="595"/>
      <c r="S24" s="59">
        <f t="shared" si="7"/>
        <v>0.26638655462184874</v>
      </c>
      <c r="T24" s="105">
        <f t="shared" si="1"/>
        <v>4284</v>
      </c>
      <c r="U24" s="18">
        <f>SUMIF(Total!G:G,'ATD Daily&gt; (2)'!E24,Total!P:P)</f>
        <v>3804</v>
      </c>
      <c r="V24" s="620">
        <f t="shared" si="2"/>
        <v>0.88795518207282909</v>
      </c>
      <c r="W24" s="107">
        <f t="shared" si="8"/>
        <v>7608000</v>
      </c>
      <c r="X24" s="25">
        <f>SUMIF(Total!G:G,'ATD Daily&gt; (2)'!E24,Total!T:T)</f>
        <v>7239072</v>
      </c>
      <c r="Y24" s="623">
        <f t="shared" si="9"/>
        <v>368928</v>
      </c>
      <c r="Z24" s="107">
        <f t="shared" si="3"/>
        <v>8568000</v>
      </c>
      <c r="AA24" s="25">
        <f t="shared" si="10"/>
        <v>7239072</v>
      </c>
      <c r="AB24" s="610">
        <f t="shared" si="4"/>
        <v>0.84489635854341738</v>
      </c>
    </row>
    <row r="25" spans="3:31" ht="16.5" customHeight="1">
      <c r="C25" s="102">
        <v>18</v>
      </c>
      <c r="D25" s="640" t="s">
        <v>61</v>
      </c>
      <c r="E25" s="640" t="s">
        <v>263</v>
      </c>
      <c r="F25" s="643"/>
      <c r="G25" s="18" t="s">
        <v>207</v>
      </c>
      <c r="H25" s="103"/>
      <c r="I25" s="202">
        <v>12</v>
      </c>
      <c r="J25" s="21">
        <v>12</v>
      </c>
      <c r="K25" s="610">
        <f t="shared" si="0"/>
        <v>1</v>
      </c>
      <c r="L25" s="607">
        <f>SUMIF(Total!G:G,'ATD Daily&gt; (2)'!E25,Total!K:K)</f>
        <v>48</v>
      </c>
      <c r="M25" s="595">
        <f>SUMIF(Total!G:G,'ATD Daily&gt; (2)'!E25,Total!M:M)</f>
        <v>4</v>
      </c>
      <c r="N25" s="600">
        <f t="shared" si="5"/>
        <v>2880</v>
      </c>
      <c r="O25" s="23">
        <f>SUMIF(Total!G:G,'ATD Daily&gt; (2)'!E25,Total!N:N)</f>
        <v>3360</v>
      </c>
      <c r="P25" s="39">
        <f t="shared" si="6"/>
        <v>1.1666666666666667</v>
      </c>
      <c r="Q25" s="23">
        <f>SUMIF(Total!G:G,'ATD Daily&gt; (2)'!E25,Total!P:P)</f>
        <v>391</v>
      </c>
      <c r="R25" s="595"/>
      <c r="S25" s="59">
        <f t="shared" si="7"/>
        <v>0.11636904761904762</v>
      </c>
      <c r="T25" s="105">
        <f t="shared" si="1"/>
        <v>1008</v>
      </c>
      <c r="U25" s="18">
        <f>SUMIF(Total!G:G,'ATD Daily&gt; (2)'!E25,Total!P:P)</f>
        <v>391</v>
      </c>
      <c r="V25" s="620">
        <f t="shared" si="2"/>
        <v>0.38789682539682541</v>
      </c>
      <c r="W25" s="107">
        <f t="shared" si="8"/>
        <v>782000</v>
      </c>
      <c r="X25" s="25">
        <f>SUMIF(Total!G:G,'ATD Daily&gt; (2)'!E25,Total!T:T)</f>
        <v>738208</v>
      </c>
      <c r="Y25" s="623">
        <f t="shared" si="9"/>
        <v>43792</v>
      </c>
      <c r="Z25" s="107">
        <f t="shared" si="3"/>
        <v>2016000</v>
      </c>
      <c r="AA25" s="25">
        <f t="shared" si="10"/>
        <v>738208</v>
      </c>
      <c r="AB25" s="610">
        <f t="shared" si="4"/>
        <v>0.36617460317460315</v>
      </c>
    </row>
    <row r="26" spans="3:31" ht="16.5" customHeight="1">
      <c r="C26" s="102">
        <v>19</v>
      </c>
      <c r="D26" s="640" t="s">
        <v>61</v>
      </c>
      <c r="E26" s="640" t="s">
        <v>193</v>
      </c>
      <c r="F26" s="643" t="s">
        <v>206</v>
      </c>
      <c r="G26" s="18" t="s">
        <v>205</v>
      </c>
      <c r="H26" s="605">
        <v>46245</v>
      </c>
      <c r="I26" s="202">
        <v>12</v>
      </c>
      <c r="J26" s="21">
        <v>12</v>
      </c>
      <c r="K26" s="610">
        <f t="shared" si="0"/>
        <v>1</v>
      </c>
      <c r="L26" s="607">
        <f>SUMIF(Total!G:G,'ATD Daily&gt; (2)'!E26,Total!K:K)</f>
        <v>144</v>
      </c>
      <c r="M26" s="595">
        <f>SUMIF(Total!G:G,'ATD Daily&gt; (2)'!E26,Total!M:M)</f>
        <v>12</v>
      </c>
      <c r="N26" s="600">
        <f t="shared" si="5"/>
        <v>8640</v>
      </c>
      <c r="O26" s="23">
        <f>SUMIF(Total!G:G,'ATD Daily&gt; (2)'!E26,Total!N:N)</f>
        <v>10080</v>
      </c>
      <c r="P26" s="39">
        <f t="shared" si="6"/>
        <v>1.1666666666666667</v>
      </c>
      <c r="Q26" s="23">
        <f>SUMIF(Total!G:G,'ATD Daily&gt; (2)'!E26,Total!P:P)</f>
        <v>1686</v>
      </c>
      <c r="R26" s="595"/>
      <c r="S26" s="59">
        <f t="shared" si="7"/>
        <v>0.16726190476190475</v>
      </c>
      <c r="T26" s="105">
        <f t="shared" si="1"/>
        <v>3024</v>
      </c>
      <c r="U26" s="18">
        <f>SUMIF(Total!G:G,'ATD Daily&gt; (2)'!E26,Total!P:P)</f>
        <v>1686</v>
      </c>
      <c r="V26" s="620">
        <f t="shared" si="2"/>
        <v>0.55753968253968256</v>
      </c>
      <c r="W26" s="107">
        <f t="shared" si="8"/>
        <v>3372000</v>
      </c>
      <c r="X26" s="25">
        <f>SUMIF(Total!G:G,'ATD Daily&gt; (2)'!E26,Total!T:T)</f>
        <v>3220296</v>
      </c>
      <c r="Y26" s="623">
        <f t="shared" si="9"/>
        <v>151704</v>
      </c>
      <c r="Z26" s="107">
        <f t="shared" si="3"/>
        <v>6048000</v>
      </c>
      <c r="AA26" s="25">
        <f t="shared" si="10"/>
        <v>3220296</v>
      </c>
      <c r="AB26" s="610">
        <f t="shared" si="4"/>
        <v>0.53245634920634921</v>
      </c>
    </row>
    <row r="27" spans="3:31" ht="16.5" customHeight="1">
      <c r="C27" s="102">
        <v>20</v>
      </c>
      <c r="D27" s="640" t="s">
        <v>61</v>
      </c>
      <c r="E27" s="640" t="s">
        <v>69</v>
      </c>
      <c r="F27" s="32"/>
      <c r="G27" s="18"/>
      <c r="H27" s="103"/>
      <c r="I27" s="202">
        <v>12</v>
      </c>
      <c r="J27" s="21">
        <v>12</v>
      </c>
      <c r="K27" s="610">
        <f t="shared" si="0"/>
        <v>1</v>
      </c>
      <c r="L27" s="607">
        <f>SUMIF(Total!G:G,'ATD Daily&gt; (2)'!E27,Total!K:K)</f>
        <v>156</v>
      </c>
      <c r="M27" s="595">
        <f>SUMIF(Total!G:G,'ATD Daily&gt; (2)'!E27,Total!M:M)</f>
        <v>13</v>
      </c>
      <c r="N27" s="600">
        <f t="shared" si="5"/>
        <v>9360</v>
      </c>
      <c r="O27" s="23">
        <f>SUMIF(Total!G:G,'ATD Daily&gt; (2)'!E27,Total!N:N)</f>
        <v>10920</v>
      </c>
      <c r="P27" s="39">
        <f t="shared" si="6"/>
        <v>1.1666666666666667</v>
      </c>
      <c r="Q27" s="23">
        <f>SUMIF(Total!G:G,'ATD Daily&gt; (2)'!E27,Total!P:P)</f>
        <v>2550</v>
      </c>
      <c r="R27" s="595"/>
      <c r="S27" s="59">
        <f t="shared" si="7"/>
        <v>0.23351648351648352</v>
      </c>
      <c r="T27" s="105">
        <f t="shared" si="1"/>
        <v>3276</v>
      </c>
      <c r="U27" s="18">
        <f>SUMIF(Total!G:G,'ATD Daily&gt; (2)'!E27,Total!P:P)</f>
        <v>2550</v>
      </c>
      <c r="V27" s="620">
        <f t="shared" si="2"/>
        <v>0.7783882783882784</v>
      </c>
      <c r="W27" s="107">
        <f t="shared" si="8"/>
        <v>5100000</v>
      </c>
      <c r="X27" s="25">
        <f>SUMIF(Total!G:G,'ATD Daily&gt; (2)'!E27,Total!T:T)</f>
        <v>4852412</v>
      </c>
      <c r="Y27" s="623">
        <f t="shared" si="9"/>
        <v>247588</v>
      </c>
      <c r="Z27" s="107">
        <f t="shared" si="3"/>
        <v>6552000</v>
      </c>
      <c r="AA27" s="25">
        <f t="shared" si="10"/>
        <v>4852412</v>
      </c>
      <c r="AB27" s="610">
        <f t="shared" si="4"/>
        <v>0.74060012210012205</v>
      </c>
      <c r="AD27" s="26"/>
    </row>
    <row r="28" spans="3:31" ht="28.2" customHeight="1">
      <c r="C28" s="632" t="s">
        <v>70</v>
      </c>
      <c r="D28" s="33"/>
      <c r="E28" s="33"/>
      <c r="F28" s="33"/>
      <c r="G28" s="33"/>
      <c r="H28" s="606"/>
      <c r="I28" s="601">
        <f>SUM(I8:I27)</f>
        <v>180</v>
      </c>
      <c r="J28" s="35">
        <f>SUM(J8:J27)</f>
        <v>180</v>
      </c>
      <c r="K28" s="611">
        <f t="shared" ref="K28" si="11">J28/I28</f>
        <v>1</v>
      </c>
      <c r="L28" s="597">
        <f>SUM(L8:L27)</f>
        <v>1788</v>
      </c>
      <c r="M28" s="596">
        <f>SUM(M8:M27)</f>
        <v>149</v>
      </c>
      <c r="N28" s="596">
        <f t="shared" ref="N28:Q28" si="12">SUM(N8:N27)</f>
        <v>107280</v>
      </c>
      <c r="O28" s="596">
        <f t="shared" si="12"/>
        <v>125160</v>
      </c>
      <c r="P28" s="621">
        <f>O28/N28</f>
        <v>1.1666666666666667</v>
      </c>
      <c r="Q28" s="596">
        <f t="shared" si="12"/>
        <v>23118</v>
      </c>
      <c r="R28" s="596"/>
      <c r="S28" s="621">
        <f>Q28/O28</f>
        <v>0.18470757430488974</v>
      </c>
      <c r="T28" s="597">
        <f>SUM(T8:T27)</f>
        <v>37548</v>
      </c>
      <c r="U28" s="35">
        <f>SUM(U8:U27)</f>
        <v>23118</v>
      </c>
      <c r="V28" s="621">
        <f t="shared" ref="V28" si="13">U28/T28</f>
        <v>0.61569191434963244</v>
      </c>
      <c r="W28" s="613">
        <f>SUM(W8:W27)</f>
        <v>46236000</v>
      </c>
      <c r="X28" s="37">
        <f>SUM(X8:X27)</f>
        <v>43923814.280000001</v>
      </c>
      <c r="Y28" s="624">
        <f>SUM(Y8:Y27)</f>
        <v>2312185.7199999997</v>
      </c>
      <c r="Z28" s="613">
        <f>SUM(Z8:Z27)</f>
        <v>75096000</v>
      </c>
      <c r="AA28" s="37">
        <f>SUM(AA8:AA27)</f>
        <v>43923814.280000001</v>
      </c>
      <c r="AB28" s="614">
        <f t="shared" si="4"/>
        <v>0.58490218227335677</v>
      </c>
    </row>
    <row r="29" spans="3:31" ht="15" thickBot="1">
      <c r="C29" s="633"/>
      <c r="D29" s="634"/>
      <c r="E29" s="634"/>
      <c r="F29" s="634"/>
      <c r="G29" s="634"/>
      <c r="H29" s="635"/>
      <c r="I29" s="602"/>
      <c r="J29" s="62"/>
      <c r="K29" s="65"/>
      <c r="L29" s="636"/>
      <c r="M29" s="637"/>
      <c r="N29" s="602"/>
      <c r="O29" s="62"/>
      <c r="P29" s="62"/>
      <c r="Q29" s="62"/>
      <c r="R29" s="637"/>
      <c r="S29" s="603"/>
      <c r="T29" s="638"/>
      <c r="U29" s="634"/>
      <c r="V29" s="639"/>
      <c r="W29" s="332"/>
      <c r="X29" s="220"/>
      <c r="Y29" s="625"/>
      <c r="Z29" s="332"/>
      <c r="AA29" s="220"/>
      <c r="AB29" s="615"/>
    </row>
    <row r="31" spans="3:31">
      <c r="Y31" s="44"/>
    </row>
    <row r="32" spans="3:31">
      <c r="I32" s="45"/>
    </row>
    <row r="35" spans="7:28" ht="15" thickBot="1">
      <c r="G35" s="647"/>
      <c r="H35" s="647"/>
      <c r="I35" s="971" t="s">
        <v>0</v>
      </c>
      <c r="J35" s="972"/>
      <c r="K35" s="973"/>
      <c r="L35" s="648"/>
      <c r="M35" s="648"/>
      <c r="N35" s="649"/>
      <c r="O35" s="649"/>
      <c r="P35" s="649"/>
      <c r="Q35" s="649"/>
      <c r="R35" s="649"/>
      <c r="S35" s="649"/>
      <c r="T35" s="972"/>
      <c r="U35" s="972"/>
      <c r="V35" s="973"/>
      <c r="W35" s="968" t="s">
        <v>3</v>
      </c>
      <c r="X35" s="969"/>
      <c r="Y35" s="970"/>
      <c r="Z35" s="968" t="s">
        <v>4</v>
      </c>
      <c r="AA35" s="969"/>
      <c r="AB35" s="970"/>
    </row>
    <row r="36" spans="7:28" ht="51" customHeight="1">
      <c r="G36" s="859" t="s">
        <v>6</v>
      </c>
      <c r="H36" s="650"/>
      <c r="I36" s="870" t="s">
        <v>11</v>
      </c>
      <c r="J36" s="870" t="s">
        <v>12</v>
      </c>
      <c r="K36" s="872" t="s">
        <v>13</v>
      </c>
      <c r="L36" s="870" t="s">
        <v>14</v>
      </c>
      <c r="M36" s="870" t="s">
        <v>15</v>
      </c>
      <c r="N36" s="651" t="s">
        <v>229</v>
      </c>
      <c r="O36" s="651" t="s">
        <v>238</v>
      </c>
      <c r="P36" s="651" t="s">
        <v>76</v>
      </c>
      <c r="Q36" s="651" t="s">
        <v>239</v>
      </c>
      <c r="R36" s="651"/>
      <c r="S36" s="651" t="s">
        <v>233</v>
      </c>
      <c r="T36" s="652" t="s">
        <v>20</v>
      </c>
      <c r="U36" s="652"/>
      <c r="V36" s="653"/>
      <c r="W36" s="654" t="s">
        <v>3</v>
      </c>
      <c r="X36" s="654"/>
      <c r="Y36" s="654"/>
      <c r="Z36" s="655" t="s">
        <v>21</v>
      </c>
      <c r="AA36" s="655"/>
      <c r="AB36" s="656"/>
    </row>
    <row r="37" spans="7:28" ht="23.4">
      <c r="G37" s="860"/>
      <c r="H37" s="657"/>
      <c r="I37" s="871"/>
      <c r="J37" s="871"/>
      <c r="K37" s="873"/>
      <c r="L37" s="871"/>
      <c r="M37" s="871"/>
      <c r="N37" s="588"/>
      <c r="O37" s="588"/>
      <c r="P37" s="588"/>
      <c r="Q37" s="588"/>
      <c r="R37" s="588"/>
      <c r="S37" s="588"/>
      <c r="T37" s="589" t="s">
        <v>22</v>
      </c>
      <c r="U37" s="589" t="s">
        <v>23</v>
      </c>
      <c r="V37" s="590" t="s">
        <v>13</v>
      </c>
      <c r="W37" s="591" t="s">
        <v>24</v>
      </c>
      <c r="X37" s="591" t="s">
        <v>25</v>
      </c>
      <c r="Y37" s="591" t="s">
        <v>26</v>
      </c>
      <c r="Z37" s="591" t="s">
        <v>27</v>
      </c>
      <c r="AA37" s="591" t="s">
        <v>28</v>
      </c>
      <c r="AB37" s="612" t="s">
        <v>29</v>
      </c>
    </row>
    <row r="38" spans="7:28">
      <c r="G38" s="56" t="s">
        <v>30</v>
      </c>
      <c r="H38" s="21"/>
      <c r="I38" s="21">
        <f t="shared" ref="I38:J41" si="14">SUMIF($D$8:$D$27,$G38,I$8:I$27)</f>
        <v>60</v>
      </c>
      <c r="J38" s="21">
        <f t="shared" si="14"/>
        <v>60</v>
      </c>
      <c r="K38" s="39">
        <f>IFERROR(J38/I38,"")</f>
        <v>1</v>
      </c>
      <c r="L38" s="21">
        <f t="shared" ref="L38:U41" si="15">SUMIF($D$8:$D$27,$G38,L$8:L$27)</f>
        <v>504</v>
      </c>
      <c r="M38" s="21">
        <f t="shared" si="15"/>
        <v>42</v>
      </c>
      <c r="N38" s="21">
        <f t="shared" si="15"/>
        <v>30240</v>
      </c>
      <c r="O38" s="21">
        <f t="shared" si="15"/>
        <v>35280</v>
      </c>
      <c r="P38" s="39">
        <f t="shared" si="15"/>
        <v>4.666666666666667</v>
      </c>
      <c r="Q38" s="21">
        <f t="shared" si="15"/>
        <v>6000</v>
      </c>
      <c r="R38" s="21"/>
      <c r="S38" s="39">
        <f t="shared" si="15"/>
        <v>0.59441917044595616</v>
      </c>
      <c r="T38" s="21">
        <f t="shared" si="15"/>
        <v>10584</v>
      </c>
      <c r="U38" s="21">
        <f t="shared" si="15"/>
        <v>6000</v>
      </c>
      <c r="V38" s="39">
        <f>IFERROR(U38/T38,"")</f>
        <v>0.56689342403628118</v>
      </c>
      <c r="W38" s="58">
        <f t="shared" ref="W38:X41" si="16">SUMIF($D$8:$D$27,$G38,W$8:W$27)</f>
        <v>12000000</v>
      </c>
      <c r="X38" s="58">
        <f t="shared" si="16"/>
        <v>11387052.280000001</v>
      </c>
      <c r="Y38" s="58">
        <f>X38-W38</f>
        <v>-612947.71999999881</v>
      </c>
      <c r="Z38" s="58">
        <f t="shared" ref="Z38:AA41" si="17">SUMIF($D$8:$D$27,$G38,Z$8:Z$27)</f>
        <v>21168000</v>
      </c>
      <c r="AA38" s="58">
        <f t="shared" si="17"/>
        <v>11387052.280000001</v>
      </c>
      <c r="AB38" s="59">
        <f>IFERROR(AA38/Z38,"")</f>
        <v>0.53793708805744522</v>
      </c>
    </row>
    <row r="39" spans="7:28">
      <c r="G39" s="56" t="s">
        <v>41</v>
      </c>
      <c r="H39" s="57"/>
      <c r="I39" s="21">
        <f t="shared" si="14"/>
        <v>60</v>
      </c>
      <c r="J39" s="21">
        <f t="shared" si="14"/>
        <v>60</v>
      </c>
      <c r="K39" s="39">
        <f t="shared" ref="K39:K42" si="18">IFERROR(J39/I39,"")</f>
        <v>1</v>
      </c>
      <c r="L39" s="21">
        <f t="shared" si="15"/>
        <v>612</v>
      </c>
      <c r="M39" s="21">
        <f t="shared" si="15"/>
        <v>51</v>
      </c>
      <c r="N39" s="21">
        <f t="shared" si="15"/>
        <v>36720</v>
      </c>
      <c r="O39" s="21">
        <f t="shared" si="15"/>
        <v>42840</v>
      </c>
      <c r="P39" s="39">
        <f t="shared" si="15"/>
        <v>5.8333333333333339</v>
      </c>
      <c r="Q39" s="21">
        <f t="shared" si="15"/>
        <v>7712</v>
      </c>
      <c r="R39" s="21"/>
      <c r="S39" s="39">
        <f t="shared" si="15"/>
        <v>0.80935374149659856</v>
      </c>
      <c r="T39" s="21">
        <f t="shared" si="15"/>
        <v>12852</v>
      </c>
      <c r="U39" s="21">
        <f t="shared" si="15"/>
        <v>7712</v>
      </c>
      <c r="V39" s="39">
        <f t="shared" ref="V39:V41" si="19">IFERROR(U39/T39,"")</f>
        <v>0.6000622471210707</v>
      </c>
      <c r="W39" s="58">
        <f t="shared" si="16"/>
        <v>15424000</v>
      </c>
      <c r="X39" s="58">
        <f t="shared" si="16"/>
        <v>14635063</v>
      </c>
      <c r="Y39" s="58">
        <f t="shared" ref="Y39:Y41" si="20">X39-W39</f>
        <v>-788937</v>
      </c>
      <c r="Z39" s="58">
        <f t="shared" si="17"/>
        <v>25704000</v>
      </c>
      <c r="AA39" s="58">
        <f t="shared" si="17"/>
        <v>14635063</v>
      </c>
      <c r="AB39" s="59">
        <f t="shared" ref="AB39:AB42" si="21">IFERROR(AA39/Z39,"")</f>
        <v>0.56936908652349827</v>
      </c>
    </row>
    <row r="40" spans="7:28">
      <c r="G40" s="56" t="s">
        <v>52</v>
      </c>
      <c r="H40" s="57"/>
      <c r="I40" s="21">
        <f t="shared" si="14"/>
        <v>0</v>
      </c>
      <c r="J40" s="21">
        <f t="shared" si="14"/>
        <v>0</v>
      </c>
      <c r="K40" s="39" t="str">
        <f t="shared" si="18"/>
        <v/>
      </c>
      <c r="L40" s="21">
        <f t="shared" si="15"/>
        <v>0</v>
      </c>
      <c r="M40" s="21">
        <f t="shared" si="15"/>
        <v>0</v>
      </c>
      <c r="N40" s="21">
        <f t="shared" si="15"/>
        <v>0</v>
      </c>
      <c r="O40" s="21">
        <f t="shared" si="15"/>
        <v>0</v>
      </c>
      <c r="P40" s="39">
        <f t="shared" si="15"/>
        <v>0</v>
      </c>
      <c r="Q40" s="21">
        <f t="shared" si="15"/>
        <v>0</v>
      </c>
      <c r="R40" s="21"/>
      <c r="S40" s="39">
        <f t="shared" si="15"/>
        <v>0</v>
      </c>
      <c r="T40" s="21">
        <f t="shared" si="15"/>
        <v>0</v>
      </c>
      <c r="U40" s="21">
        <f t="shared" si="15"/>
        <v>0</v>
      </c>
      <c r="V40" s="39" t="str">
        <f t="shared" si="19"/>
        <v/>
      </c>
      <c r="W40" s="58">
        <f t="shared" si="16"/>
        <v>0</v>
      </c>
      <c r="X40" s="58">
        <f t="shared" si="16"/>
        <v>0</v>
      </c>
      <c r="Y40" s="58">
        <f t="shared" si="20"/>
        <v>0</v>
      </c>
      <c r="Z40" s="58">
        <f t="shared" si="17"/>
        <v>0</v>
      </c>
      <c r="AA40" s="58">
        <f t="shared" si="17"/>
        <v>0</v>
      </c>
      <c r="AB40" s="59" t="str">
        <f t="shared" si="21"/>
        <v/>
      </c>
    </row>
    <row r="41" spans="7:28" ht="15" thickBot="1">
      <c r="G41" s="60" t="s">
        <v>61</v>
      </c>
      <c r="H41" s="61"/>
      <c r="I41" s="62">
        <f t="shared" si="14"/>
        <v>60</v>
      </c>
      <c r="J41" s="62">
        <f t="shared" si="14"/>
        <v>60</v>
      </c>
      <c r="K41" s="63">
        <f t="shared" si="18"/>
        <v>1</v>
      </c>
      <c r="L41" s="62">
        <f t="shared" si="15"/>
        <v>672</v>
      </c>
      <c r="M41" s="21">
        <f t="shared" si="15"/>
        <v>56</v>
      </c>
      <c r="N41" s="21">
        <f t="shared" si="15"/>
        <v>40320</v>
      </c>
      <c r="O41" s="21">
        <f t="shared" si="15"/>
        <v>47040</v>
      </c>
      <c r="P41" s="39">
        <f t="shared" si="15"/>
        <v>5.8333333333333339</v>
      </c>
      <c r="Q41" s="21">
        <f t="shared" si="15"/>
        <v>9406</v>
      </c>
      <c r="R41" s="21"/>
      <c r="S41" s="39">
        <f t="shared" si="15"/>
        <v>0.89960541909071323</v>
      </c>
      <c r="T41" s="62">
        <f t="shared" si="15"/>
        <v>14112</v>
      </c>
      <c r="U41" s="62">
        <f t="shared" si="15"/>
        <v>9406</v>
      </c>
      <c r="V41" s="63">
        <f t="shared" si="19"/>
        <v>0.66652494331065759</v>
      </c>
      <c r="W41" s="64">
        <f t="shared" si="16"/>
        <v>18812000</v>
      </c>
      <c r="X41" s="64">
        <f t="shared" si="16"/>
        <v>17901699</v>
      </c>
      <c r="Y41" s="64">
        <f t="shared" si="20"/>
        <v>-910301</v>
      </c>
      <c r="Z41" s="64">
        <f t="shared" si="17"/>
        <v>28224000</v>
      </c>
      <c r="AA41" s="64">
        <f t="shared" si="17"/>
        <v>17901699</v>
      </c>
      <c r="AB41" s="65">
        <f t="shared" si="21"/>
        <v>0.63427221513605447</v>
      </c>
    </row>
    <row r="42" spans="7:28" ht="15" thickBot="1">
      <c r="G42" s="66" t="s">
        <v>70</v>
      </c>
      <c r="H42" s="67"/>
      <c r="I42" s="68">
        <f>SUM(I38:I41)</f>
        <v>180</v>
      </c>
      <c r="J42" s="69">
        <f>SUM(J38:J41)</f>
        <v>180</v>
      </c>
      <c r="K42" s="70">
        <f t="shared" si="18"/>
        <v>1</v>
      </c>
      <c r="L42" s="68">
        <f>SUM(L38:L41)</f>
        <v>1788</v>
      </c>
      <c r="M42" s="68">
        <f>SUM(M38:M41)</f>
        <v>149</v>
      </c>
      <c r="N42" s="68">
        <f>SUM(N38:N41)</f>
        <v>107280</v>
      </c>
      <c r="O42" s="68">
        <f t="shared" ref="O42:S42" si="22">SUM(O38:O41)</f>
        <v>125160</v>
      </c>
      <c r="P42" s="70">
        <f>O42/N42</f>
        <v>1.1666666666666667</v>
      </c>
      <c r="Q42" s="68">
        <f t="shared" si="22"/>
        <v>23118</v>
      </c>
      <c r="R42" s="68"/>
      <c r="S42" s="70">
        <f t="shared" si="22"/>
        <v>2.3033783310332678</v>
      </c>
      <c r="T42" s="71">
        <f t="shared" ref="T42:AA42" si="23">SUM(T38:T41)</f>
        <v>37548</v>
      </c>
      <c r="U42" s="71">
        <f t="shared" si="23"/>
        <v>23118</v>
      </c>
      <c r="V42" s="72">
        <f>U42/T42</f>
        <v>0.61569191434963244</v>
      </c>
      <c r="W42" s="73">
        <f t="shared" si="23"/>
        <v>46236000</v>
      </c>
      <c r="X42" s="73">
        <f t="shared" si="23"/>
        <v>43923814.280000001</v>
      </c>
      <c r="Y42" s="73">
        <f t="shared" si="23"/>
        <v>-2312185.7199999988</v>
      </c>
      <c r="Z42" s="74">
        <f t="shared" si="23"/>
        <v>75096000</v>
      </c>
      <c r="AA42" s="75">
        <f t="shared" si="23"/>
        <v>43923814.280000001</v>
      </c>
      <c r="AB42" s="76">
        <f t="shared" si="21"/>
        <v>0.58490218227335677</v>
      </c>
    </row>
  </sheetData>
  <mergeCells count="33">
    <mergeCell ref="T5:V6"/>
    <mergeCell ref="C6:C7"/>
    <mergeCell ref="D6:D7"/>
    <mergeCell ref="E6:E7"/>
    <mergeCell ref="F6:F7"/>
    <mergeCell ref="G6:G7"/>
    <mergeCell ref="H6:H7"/>
    <mergeCell ref="Z35:AB35"/>
    <mergeCell ref="G36:G37"/>
    <mergeCell ref="I36:I37"/>
    <mergeCell ref="J36:J37"/>
    <mergeCell ref="K36:K37"/>
    <mergeCell ref="L36:L37"/>
    <mergeCell ref="M36:M37"/>
    <mergeCell ref="I35:K35"/>
    <mergeCell ref="T35:V35"/>
    <mergeCell ref="W35:Y35"/>
    <mergeCell ref="W4:Y4"/>
    <mergeCell ref="W5:Y6"/>
    <mergeCell ref="Z4:AB4"/>
    <mergeCell ref="Z5:AB6"/>
    <mergeCell ref="C4:H4"/>
    <mergeCell ref="L4:M4"/>
    <mergeCell ref="T4:V4"/>
    <mergeCell ref="I4:K4"/>
    <mergeCell ref="N5:N7"/>
    <mergeCell ref="O5:O7"/>
    <mergeCell ref="N4:S4"/>
    <mergeCell ref="I6:I7"/>
    <mergeCell ref="J6:J7"/>
    <mergeCell ref="K6:K7"/>
    <mergeCell ref="L5:L7"/>
    <mergeCell ref="M5:M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FB89-5771-46BA-8E54-6F779BE8AA9B}">
  <dimension ref="A1:V21"/>
  <sheetViews>
    <sheetView workbookViewId="0">
      <selection activeCell="F79" sqref="F79"/>
    </sheetView>
  </sheetViews>
  <sheetFormatPr defaultColWidth="9" defaultRowHeight="14.4"/>
  <cols>
    <col min="1" max="2" width="9.33203125" customWidth="1"/>
    <col min="4" max="4" width="26.44140625" bestFit="1" customWidth="1"/>
    <col min="5" max="5" width="19.44140625" customWidth="1"/>
    <col min="6" max="6" width="25.5546875" bestFit="1" customWidth="1"/>
    <col min="7" max="7" width="26.33203125" customWidth="1"/>
    <col min="8" max="8" width="17" customWidth="1"/>
    <col min="9" max="9" width="11.5546875" bestFit="1" customWidth="1"/>
    <col min="10" max="10" width="11.6640625" customWidth="1"/>
    <col min="11" max="11" width="18.5546875" customWidth="1"/>
    <col min="12" max="12" width="35.5546875" customWidth="1"/>
    <col min="13" max="14" width="31" customWidth="1"/>
    <col min="15" max="16" width="18.44140625" customWidth="1"/>
    <col min="17" max="17" width="21.109375" customWidth="1"/>
    <col min="18" max="20" width="21.33203125" customWidth="1"/>
    <col min="21" max="21" width="21.109375" customWidth="1"/>
  </cols>
  <sheetData>
    <row r="1" spans="1:22">
      <c r="A1" t="s">
        <v>155</v>
      </c>
      <c r="B1" t="s">
        <v>6</v>
      </c>
      <c r="C1" t="s">
        <v>7</v>
      </c>
      <c r="D1" t="s">
        <v>8</v>
      </c>
      <c r="E1" t="s">
        <v>9</v>
      </c>
      <c r="F1" t="s">
        <v>11</v>
      </c>
      <c r="G1" t="s">
        <v>12</v>
      </c>
      <c r="H1" t="s">
        <v>13</v>
      </c>
      <c r="I1" t="s">
        <v>14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</row>
    <row r="2" spans="1:22">
      <c r="B2" t="str">
        <f>'[1]ATD &gt;'!D5</f>
        <v>East 1</v>
      </c>
      <c r="C2" t="s">
        <v>276</v>
      </c>
      <c r="D2" s="664" t="s">
        <v>254</v>
      </c>
      <c r="E2" t="str">
        <f>'[1]ATD &gt;'!G5</f>
        <v>YES</v>
      </c>
      <c r="F2">
        <f>SUMIF('ATD Daily&gt; (2)'!E:E,Table1[[#This Row],[Area/Location]],'ATD Daily&gt; (2)'!I:I)</f>
        <v>12</v>
      </c>
      <c r="G2">
        <f>SUMIF('ATD Daily&gt; (2)'!E:E,Table1[[#This Row],[Area/Location]],'ATD Daily&gt; (2)'!J:J)</f>
        <v>12</v>
      </c>
      <c r="H2" s="42">
        <f>SUMIF('ATD &gt;'!$E:$E,Table1[[#This Row],[Area/Location]],'ATD &gt;'!K:K)</f>
        <v>0</v>
      </c>
      <c r="I2">
        <f>SUMIF('ATD &gt;'!$E:$E,Table1[[#This Row],[Area/Location]],'ATD &gt;'!L:L)</f>
        <v>0</v>
      </c>
      <c r="J2">
        <f>Table1[[#This Row],[Man Days]]*120</f>
        <v>0</v>
      </c>
      <c r="K2">
        <f>Table1[[#This Row],[Target Consumer days]]</f>
        <v>0</v>
      </c>
      <c r="L2">
        <f>SUMIF('ATD Daily&gt; (2)'!E:E,Table1[[#This Row],[Area/Location]],'ATD Daily&gt; (2)'!T:T)</f>
        <v>1764</v>
      </c>
      <c r="M2">
        <f>SUMIF('ATD Daily&gt; (2)'!E:E,Table1[[#This Row],[Area/Location]],'ATD Daily&gt; (2)'!U:U)</f>
        <v>450</v>
      </c>
      <c r="N2">
        <f>SUMIF('ATD &gt;'!$E:$E,Table1[[#This Row],[Area/Location]],'ATD &gt;'!Q:Q)</f>
        <v>0</v>
      </c>
      <c r="O2">
        <f>SUMIF('ATD &gt;'!$E:$E,Table1[[#This Row],[Area/Location]],'ATD &gt;'!R:R)</f>
        <v>0</v>
      </c>
      <c r="P2">
        <f>SUMIF('ATD Daily&gt; (2)'!E:E,Table1[[#This Row],[Area/Location]],'ATD Daily&gt; (2)'!T:T)</f>
        <v>1764</v>
      </c>
      <c r="Q2">
        <f>SUMIF('ATD Daily&gt; (2)'!E:E,Table1[[#This Row],[Area/Location]],'ATD Daily&gt; (2)'!U:U)</f>
        <v>450</v>
      </c>
      <c r="S2">
        <f>Table1[[#This Row],[Target Hollandia Evap Milk 120g]]</f>
        <v>1764</v>
      </c>
      <c r="T2" s="483">
        <f>Table1[[#This Row],[Actual Hollandia Evap Milk 120g]]</f>
        <v>450</v>
      </c>
    </row>
    <row r="3" spans="1:22">
      <c r="B3" t="str">
        <f>'[1]ATD &gt;'!D7</f>
        <v>East 1</v>
      </c>
      <c r="C3" t="str">
        <f>'[1]ATD &gt;'!E7</f>
        <v>Onitsha</v>
      </c>
      <c r="E3" t="str">
        <f>'[1]ATD &gt;'!G7</f>
        <v>YES</v>
      </c>
      <c r="F3">
        <f>SUMIF('ATD Daily&gt; (2)'!E:E,Table1[[#This Row],[Area/Location]],'ATD Daily&gt; (2)'!I:I)</f>
        <v>12</v>
      </c>
      <c r="G3">
        <f>SUMIF('ATD Daily&gt; (2)'!E:E,Table1[[#This Row],[Area/Location]],'ATD Daily&gt; (2)'!J:J)</f>
        <v>12</v>
      </c>
      <c r="H3" s="42">
        <f>SUMIF('ATD &gt;'!$E:$E,Table1[[#This Row],[Area/Location]],'ATD &gt;'!K:K)</f>
        <v>0</v>
      </c>
      <c r="I3">
        <f>SUMIF('ATD &gt;'!$E:$E,Table1[[#This Row],[Area/Location]],'ATD &gt;'!L:L)</f>
        <v>120</v>
      </c>
      <c r="J3">
        <f>Table1[[#This Row],[Man Days]]*120</f>
        <v>14400</v>
      </c>
      <c r="K3">
        <f>Table1[[#This Row],[Target Consumer days]]</f>
        <v>14400</v>
      </c>
      <c r="L3">
        <f>SUMIF('ATD Daily&gt; (2)'!E:E,Table1[[#This Row],[Area/Location]],'ATD Daily&gt; (2)'!T:T)</f>
        <v>2520</v>
      </c>
      <c r="M3">
        <f>SUMIF('ATD Daily&gt; (2)'!E:E,Table1[[#This Row],[Area/Location]],'ATD Daily&gt; (2)'!U:U)</f>
        <v>1477</v>
      </c>
      <c r="N3">
        <f>SUMIF('ATD &gt;'!$E:$E,Table1[[#This Row],[Area/Location]],'ATD &gt;'!Q:Q)</f>
        <v>2954000</v>
      </c>
      <c r="O3">
        <f>SUMIF('ATD &gt;'!$E:$E,Table1[[#This Row],[Area/Location]],'ATD &gt;'!R:R)</f>
        <v>2792792</v>
      </c>
      <c r="P3">
        <f>SUMIF('ATD Daily&gt; (2)'!E:E,Table1[[#This Row],[Area/Location]],'ATD Daily&gt; (2)'!T:T)</f>
        <v>2520</v>
      </c>
      <c r="Q3">
        <f>SUMIF('ATD Daily&gt; (2)'!E:E,Table1[[#This Row],[Area/Location]],'ATD Daily&gt; (2)'!U:U)</f>
        <v>1477</v>
      </c>
      <c r="S3">
        <f>Table1[[#This Row],[Target Hollandia Evap Milk 120g]]</f>
        <v>2520</v>
      </c>
      <c r="T3" s="483">
        <f>Table1[[#This Row],[Actual Hollandia Evap Milk 120g]]</f>
        <v>1477</v>
      </c>
    </row>
    <row r="4" spans="1:22">
      <c r="B4" t="str">
        <f>'[1]ATD &gt;'!D8</f>
        <v>East 1</v>
      </c>
      <c r="C4" t="s">
        <v>38</v>
      </c>
      <c r="D4" t="s">
        <v>255</v>
      </c>
      <c r="E4" t="str">
        <f>'[1]ATD &gt;'!G8</f>
        <v>YES</v>
      </c>
      <c r="F4">
        <f>SUMIF('ATD Daily&gt; (2)'!E:E,Table1[[#This Row],[Area/Location]],'ATD Daily&gt; (2)'!I:I)</f>
        <v>12</v>
      </c>
      <c r="G4">
        <f>SUMIF('ATD Daily&gt; (2)'!E:E,Table1[[#This Row],[Area/Location]],'ATD Daily&gt; (2)'!J:J)</f>
        <v>12</v>
      </c>
      <c r="H4" s="42">
        <f>SUMIF('ATD &gt;'!$E:$E,Table1[[#This Row],[Area/Location]],'ATD &gt;'!K:K)</f>
        <v>0</v>
      </c>
      <c r="I4">
        <f>SUMIF('ATD &gt;'!$E:$E,Table1[[#This Row],[Area/Location]],'ATD &gt;'!L:L)</f>
        <v>108</v>
      </c>
      <c r="J4">
        <f>Table1[[#This Row],[Man Days]]*120</f>
        <v>12960</v>
      </c>
      <c r="K4">
        <f>Table1[[#This Row],[Target Consumer days]]</f>
        <v>12960</v>
      </c>
      <c r="L4">
        <f>SUMIF('ATD Daily&gt; (2)'!E:E,Table1[[#This Row],[Area/Location]],'ATD Daily&gt; (2)'!T:T)</f>
        <v>2268</v>
      </c>
      <c r="M4">
        <f>SUMIF('ATD Daily&gt; (2)'!E:E,Table1[[#This Row],[Area/Location]],'ATD Daily&gt; (2)'!U:U)</f>
        <v>674</v>
      </c>
      <c r="N4">
        <f>SUMIF('ATD &gt;'!$E:$E,Table1[[#This Row],[Area/Location]],'ATD &gt;'!Q:Q)</f>
        <v>1348000</v>
      </c>
      <c r="O4">
        <f>SUMIF('ATD &gt;'!$E:$E,Table1[[#This Row],[Area/Location]],'ATD &gt;'!R:R)</f>
        <v>1272512</v>
      </c>
      <c r="P4">
        <f>SUMIF('ATD Daily&gt; (2)'!E:E,Table1[[#This Row],[Area/Location]],'ATD Daily&gt; (2)'!T:T)</f>
        <v>2268</v>
      </c>
      <c r="Q4">
        <f>SUMIF('ATD Daily&gt; (2)'!E:E,Table1[[#This Row],[Area/Location]],'ATD Daily&gt; (2)'!U:U)</f>
        <v>674</v>
      </c>
      <c r="S4">
        <f>Table1[[#This Row],[Target Hollandia Evap Milk 120g]]</f>
        <v>2268</v>
      </c>
      <c r="T4" s="483">
        <f>Table1[[#This Row],[Actual Hollandia Evap Milk 120g]]</f>
        <v>674</v>
      </c>
    </row>
    <row r="5" spans="1:22">
      <c r="B5" t="str">
        <f>'[1]ATD &gt;'!D9</f>
        <v>East 1</v>
      </c>
      <c r="C5" t="str">
        <f>'[1]ATD &gt;'!E9</f>
        <v>Owerri</v>
      </c>
      <c r="E5" t="str">
        <f>'[1]ATD &gt;'!G9</f>
        <v>YES</v>
      </c>
      <c r="F5">
        <f>SUMIF('ATD Daily&gt; (2)'!E:E,Table1[[#This Row],[Area/Location]],'ATD Daily&gt; (2)'!I:I)</f>
        <v>12</v>
      </c>
      <c r="G5">
        <f>SUMIF('ATD Daily&gt; (2)'!E:E,Table1[[#This Row],[Area/Location]],'ATD Daily&gt; (2)'!J:J)</f>
        <v>12</v>
      </c>
      <c r="H5" s="42">
        <f>SUMIF('ATD &gt;'!$E:$E,Table1[[#This Row],[Area/Location]],'ATD &gt;'!K:K)</f>
        <v>0</v>
      </c>
      <c r="I5">
        <f>SUMIF('ATD &gt;'!$E:$E,Table1[[#This Row],[Area/Location]],'ATD &gt;'!L:L)</f>
        <v>192</v>
      </c>
      <c r="J5">
        <f>Table1[[#This Row],[Man Days]]*120</f>
        <v>23040</v>
      </c>
      <c r="K5">
        <f>Table1[[#This Row],[Target Consumer days]]</f>
        <v>23040</v>
      </c>
      <c r="L5">
        <f>SUMIF('ATD Daily&gt; (2)'!E:E,Table1[[#This Row],[Area/Location]],'ATD Daily&gt; (2)'!T:T)</f>
        <v>4032</v>
      </c>
      <c r="M5">
        <f>SUMIF('ATD Daily&gt; (2)'!E:E,Table1[[#This Row],[Area/Location]],'ATD Daily&gt; (2)'!U:U)</f>
        <v>3399</v>
      </c>
      <c r="N5">
        <f>SUMIF('ATD &gt;'!$E:$E,Table1[[#This Row],[Area/Location]],'ATD &gt;'!Q:Q)</f>
        <v>6798000</v>
      </c>
      <c r="O5">
        <f>SUMIF('ATD &gt;'!$E:$E,Table1[[#This Row],[Area/Location]],'ATD &gt;'!R:R)</f>
        <v>6476896</v>
      </c>
      <c r="P5">
        <f>SUMIF('ATD Daily&gt; (2)'!E:E,Table1[[#This Row],[Area/Location]],'ATD Daily&gt; (2)'!T:T)</f>
        <v>4032</v>
      </c>
      <c r="Q5">
        <f>SUMIF('ATD Daily&gt; (2)'!E:E,Table1[[#This Row],[Area/Location]],'ATD Daily&gt; (2)'!U:U)</f>
        <v>3399</v>
      </c>
      <c r="S5">
        <f>Table1[[#This Row],[Target Hollandia Evap Milk 120g]]</f>
        <v>4032</v>
      </c>
      <c r="T5" s="483">
        <f>Table1[[#This Row],[Actual Hollandia Evap Milk 120g]]</f>
        <v>3399</v>
      </c>
    </row>
    <row r="6" spans="1:22">
      <c r="B6" t="str">
        <f>'[1]ATD &gt;'!D10</f>
        <v>East 2</v>
      </c>
      <c r="C6" t="str">
        <f>'[1]ATD &gt;'!E10</f>
        <v>Aba</v>
      </c>
      <c r="E6" t="str">
        <f>'[1]ATD &gt;'!G10</f>
        <v>YES</v>
      </c>
      <c r="F6">
        <f>SUMIF('ATD Daily&gt; (2)'!E:E,Table1[[#This Row],[Area/Location]],'ATD Daily&gt; (2)'!I:I)</f>
        <v>12</v>
      </c>
      <c r="G6">
        <f>SUMIF('ATD Daily&gt; (2)'!E:E,Table1[[#This Row],[Area/Location]],'ATD Daily&gt; (2)'!J:J)</f>
        <v>12</v>
      </c>
      <c r="H6" s="42">
        <f>SUMIF('ATD &gt;'!$E:$E,Table1[[#This Row],[Area/Location]],'ATD &gt;'!K:K)</f>
        <v>0</v>
      </c>
      <c r="I6">
        <f>SUMIF('ATD &gt;'!$E:$E,Table1[[#This Row],[Area/Location]],'ATD &gt;'!L:L)</f>
        <v>12</v>
      </c>
      <c r="J6">
        <f>Table1[[#This Row],[Man Days]]*120</f>
        <v>1440</v>
      </c>
      <c r="K6">
        <f>Table1[[#This Row],[Target Consumer days]]</f>
        <v>1440</v>
      </c>
      <c r="L6">
        <f>SUMIF('ATD Daily&gt; (2)'!E:E,Table1[[#This Row],[Area/Location]],'ATD Daily&gt; (2)'!T:T)</f>
        <v>252</v>
      </c>
      <c r="M6">
        <f>SUMIF('ATD Daily&gt; (2)'!E:E,Table1[[#This Row],[Area/Location]],'ATD Daily&gt; (2)'!U:U)</f>
        <v>53</v>
      </c>
      <c r="N6">
        <f>SUMIF('ATD &gt;'!$E:$E,Table1[[#This Row],[Area/Location]],'ATD &gt;'!Q:Q)</f>
        <v>106000</v>
      </c>
      <c r="O6">
        <f>SUMIF('ATD &gt;'!$E:$E,Table1[[#This Row],[Area/Location]],'ATD &gt;'!R:R)</f>
        <v>100064</v>
      </c>
      <c r="P6">
        <f>SUMIF('ATD Daily&gt; (2)'!E:E,Table1[[#This Row],[Area/Location]],'ATD Daily&gt; (2)'!T:T)</f>
        <v>252</v>
      </c>
      <c r="Q6">
        <f>SUMIF('ATD Daily&gt; (2)'!E:E,Table1[[#This Row],[Area/Location]],'ATD Daily&gt; (2)'!U:U)</f>
        <v>53</v>
      </c>
      <c r="S6">
        <f>Table1[[#This Row],[Target Hollandia Evap Milk 120g]]</f>
        <v>252</v>
      </c>
      <c r="T6" s="483">
        <f>Table1[[#This Row],[Actual Hollandia Evap Milk 120g]]</f>
        <v>53</v>
      </c>
    </row>
    <row r="7" spans="1:22">
      <c r="B7" t="str">
        <f>'[1]ATD &gt;'!D11</f>
        <v>East 2</v>
      </c>
      <c r="C7" t="str">
        <f>'[1]ATD &gt;'!E11</f>
        <v>PHC 1</v>
      </c>
      <c r="E7" t="str">
        <f>'[1]ATD &gt;'!G11</f>
        <v>YES</v>
      </c>
      <c r="F7">
        <f>SUMIF('ATD Daily&gt; (2)'!E:E,Table1[[#This Row],[Area/Location]],'ATD Daily&gt; (2)'!I:I)</f>
        <v>12</v>
      </c>
      <c r="G7">
        <f>SUMIF('ATD Daily&gt; (2)'!E:E,Table1[[#This Row],[Area/Location]],'ATD Daily&gt; (2)'!J:J)</f>
        <v>12</v>
      </c>
      <c r="H7" s="42">
        <f>SUMIF('ATD &gt;'!$E:$E,Table1[[#This Row],[Area/Location]],'ATD &gt;'!K:K)</f>
        <v>0</v>
      </c>
      <c r="I7">
        <f>SUMIF('ATD &gt;'!$E:$E,Table1[[#This Row],[Area/Location]],'ATD &gt;'!L:L)</f>
        <v>168</v>
      </c>
      <c r="J7">
        <f>Table1[[#This Row],[Man Days]]*120</f>
        <v>20160</v>
      </c>
      <c r="K7">
        <f>Table1[[#This Row],[Target Consumer days]]</f>
        <v>20160</v>
      </c>
      <c r="L7">
        <f>SUMIF('ATD Daily&gt; (2)'!E:E,Table1[[#This Row],[Area/Location]],'ATD Daily&gt; (2)'!T:T)</f>
        <v>3528</v>
      </c>
      <c r="M7">
        <f>SUMIF('ATD Daily&gt; (2)'!E:E,Table1[[#This Row],[Area/Location]],'ATD Daily&gt; (2)'!U:U)</f>
        <v>2337</v>
      </c>
      <c r="N7">
        <f>SUMIF('ATD &gt;'!$E:$E,Table1[[#This Row],[Area/Location]],'ATD &gt;'!Q:Q)</f>
        <v>4674000</v>
      </c>
      <c r="O7">
        <f>SUMIF('ATD &gt;'!$E:$E,Table1[[#This Row],[Area/Location]],'ATD &gt;'!R:R)</f>
        <v>4440480</v>
      </c>
      <c r="P7">
        <f>SUMIF('ATD Daily&gt; (2)'!E:E,Table1[[#This Row],[Area/Location]],'ATD Daily&gt; (2)'!T:T)</f>
        <v>3528</v>
      </c>
      <c r="Q7">
        <f>SUMIF('ATD Daily&gt; (2)'!E:E,Table1[[#This Row],[Area/Location]],'ATD Daily&gt; (2)'!U:U)</f>
        <v>2337</v>
      </c>
      <c r="S7">
        <f>Table1[[#This Row],[Target Hollandia Evap Milk 120g]]</f>
        <v>3528</v>
      </c>
      <c r="T7" s="483">
        <f>Table1[[#This Row],[Actual Hollandia Evap Milk 120g]]</f>
        <v>2337</v>
      </c>
    </row>
    <row r="8" spans="1:22">
      <c r="B8" t="str">
        <f>'[1]ATD &gt;'!D12</f>
        <v>East 2</v>
      </c>
      <c r="C8" t="s">
        <v>47</v>
      </c>
      <c r="E8" t="str">
        <f>'[1]ATD &gt;'!G12</f>
        <v>YES</v>
      </c>
      <c r="F8">
        <f>SUMIF('ATD Daily&gt; (2)'!E:E,Table1[[#This Row],[Area/Location]],'ATD Daily&gt; (2)'!I:I)</f>
        <v>12</v>
      </c>
      <c r="G8">
        <f>SUMIF('ATD Daily&gt; (2)'!E:E,Table1[[#This Row],[Area/Location]],'ATD Daily&gt; (2)'!J:J)</f>
        <v>12</v>
      </c>
      <c r="H8" s="42">
        <f>SUMIF('ATD &gt;'!$E:$E,Table1[[#This Row],[Area/Location]],'ATD &gt;'!K:K)</f>
        <v>0</v>
      </c>
      <c r="I8">
        <f>SUMIF('ATD &gt;'!$E:$E,Table1[[#This Row],[Area/Location]],'ATD &gt;'!L:L)</f>
        <v>120</v>
      </c>
      <c r="J8">
        <f>Table1[[#This Row],[Man Days]]*120</f>
        <v>14400</v>
      </c>
      <c r="K8">
        <f>Table1[[#This Row],[Target Consumer days]]</f>
        <v>14400</v>
      </c>
      <c r="L8">
        <f>SUMIF('ATD Daily&gt; (2)'!E:E,Table1[[#This Row],[Area/Location]],'ATD Daily&gt; (2)'!T:T)</f>
        <v>2520</v>
      </c>
      <c r="M8">
        <f>SUMIF('ATD Daily&gt; (2)'!E:E,Table1[[#This Row],[Area/Location]],'ATD Daily&gt; (2)'!U:U)</f>
        <v>2240</v>
      </c>
      <c r="N8">
        <f>SUMIF('ATD &gt;'!$E:$E,Table1[[#This Row],[Area/Location]],'ATD &gt;'!Q:Q)</f>
        <v>4480000</v>
      </c>
      <c r="O8">
        <f>SUMIF('ATD &gt;'!$E:$E,Table1[[#This Row],[Area/Location]],'ATD &gt;'!R:R)</f>
        <v>4265211</v>
      </c>
      <c r="P8">
        <f>SUMIF('ATD Daily&gt; (2)'!E:E,Table1[[#This Row],[Area/Location]],'ATD Daily&gt; (2)'!T:T)</f>
        <v>2520</v>
      </c>
      <c r="Q8">
        <f>SUMIF('ATD Daily&gt; (2)'!E:E,Table1[[#This Row],[Area/Location]],'ATD Daily&gt; (2)'!U:U)</f>
        <v>2240</v>
      </c>
      <c r="S8">
        <f>Table1[[#This Row],[Target Hollandia Evap Milk 120g]]</f>
        <v>2520</v>
      </c>
      <c r="T8" s="483">
        <f>Table1[[#This Row],[Actual Hollandia Evap Milk 120g]]</f>
        <v>2240</v>
      </c>
    </row>
    <row r="9" spans="1:22">
      <c r="B9" t="str">
        <f>'[1]ATD &gt;'!D14</f>
        <v>East 2</v>
      </c>
      <c r="C9" t="str">
        <f>'[1]ATD &gt;'!E14</f>
        <v>Uyo</v>
      </c>
      <c r="D9" t="str">
        <f>'[1]ATD &gt;'!F14</f>
        <v>IFEANYI ESTER AKPATI</v>
      </c>
      <c r="E9" t="str">
        <f>'[1]ATD &gt;'!G14</f>
        <v>YES</v>
      </c>
      <c r="F9">
        <f>SUMIF('ATD Daily&gt; (2)'!E:E,Table1[[#This Row],[Area/Location]],'ATD Daily&gt; (2)'!I:I)</f>
        <v>12</v>
      </c>
      <c r="G9">
        <f>SUMIF('ATD Daily&gt; (2)'!E:E,Table1[[#This Row],[Area/Location]],'ATD Daily&gt; (2)'!J:J)</f>
        <v>12</v>
      </c>
      <c r="H9" s="42">
        <f>SUMIF('ATD &gt;'!$E:$E,Table1[[#This Row],[Area/Location]],'ATD &gt;'!K:K)</f>
        <v>1</v>
      </c>
      <c r="I9">
        <f>SUMIF('ATD &gt;'!$E:$E,Table1[[#This Row],[Area/Location]],'ATD &gt;'!L:L)</f>
        <v>168</v>
      </c>
      <c r="J9">
        <f>Table1[[#This Row],[Man Days]]*120</f>
        <v>20160</v>
      </c>
      <c r="K9">
        <f>Table1[[#This Row],[Target Consumer days]]</f>
        <v>20160</v>
      </c>
      <c r="L9">
        <f>SUMIF('ATD Daily&gt; (2)'!E:E,Table1[[#This Row],[Area/Location]],'ATD Daily&gt; (2)'!T:T)</f>
        <v>3528</v>
      </c>
      <c r="M9">
        <f>SUMIF('ATD Daily&gt; (2)'!E:E,Table1[[#This Row],[Area/Location]],'ATD Daily&gt; (2)'!U:U)</f>
        <v>1756</v>
      </c>
      <c r="N9">
        <f>SUMIF('ATD &gt;'!$E:$E,Table1[[#This Row],[Area/Location]],'ATD &gt;'!Q:Q)</f>
        <v>3512000</v>
      </c>
      <c r="O9">
        <f>SUMIF('ATD &gt;'!$E:$E,Table1[[#This Row],[Area/Location]],'ATD &gt;'!R:R)</f>
        <v>3315328</v>
      </c>
      <c r="P9">
        <f>SUMIF('ATD Daily&gt; (2)'!E:E,Table1[[#This Row],[Area/Location]],'ATD Daily&gt; (2)'!T:T)</f>
        <v>3528</v>
      </c>
      <c r="Q9">
        <f>SUMIF('ATD Daily&gt; (2)'!E:E,Table1[[#This Row],[Area/Location]],'ATD Daily&gt; (2)'!U:U)</f>
        <v>1756</v>
      </c>
      <c r="S9">
        <f>Table1[[#This Row],[Target Hollandia Evap Milk 120g]]</f>
        <v>3528</v>
      </c>
      <c r="T9" s="483">
        <f>Table1[[#This Row],[Actual Hollandia Evap Milk 120g]]</f>
        <v>1756</v>
      </c>
    </row>
    <row r="10" spans="1:22">
      <c r="B10" t="str">
        <f>'[1]ATD &gt;'!D15</f>
        <v>East 2</v>
      </c>
      <c r="C10" t="str">
        <f>'[1]ATD &gt;'!E15</f>
        <v>Calabar</v>
      </c>
      <c r="D10" t="str">
        <f>'[1]ATD &gt;'!F15</f>
        <v>ENOIDEM AKPAN</v>
      </c>
      <c r="E10" t="str">
        <f>'[1]ATD &gt;'!G15</f>
        <v>YES</v>
      </c>
      <c r="F10">
        <f>SUMIF('ATD Daily&gt; (2)'!E:E,Table1[[#This Row],[Area/Location]],'ATD Daily&gt; (2)'!I:I)</f>
        <v>12</v>
      </c>
      <c r="G10">
        <f>SUMIF('ATD Daily&gt; (2)'!E:E,Table1[[#This Row],[Area/Location]],'ATD Daily&gt; (2)'!J:J)</f>
        <v>12</v>
      </c>
      <c r="H10" s="42">
        <f>SUMIF('ATD &gt;'!$E:$E,Table1[[#This Row],[Area/Location]],'ATD &gt;'!K:K)</f>
        <v>1</v>
      </c>
      <c r="I10">
        <f>SUMIF('ATD &gt;'!$E:$E,Table1[[#This Row],[Area/Location]],'ATD &gt;'!L:L)</f>
        <v>144</v>
      </c>
      <c r="J10">
        <f>Table1[[#This Row],[Man Days]]*120</f>
        <v>17280</v>
      </c>
      <c r="K10">
        <f>Table1[[#This Row],[Target Consumer days]]</f>
        <v>17280</v>
      </c>
      <c r="L10">
        <f>SUMIF('ATD Daily&gt; (2)'!E:E,Table1[[#This Row],[Area/Location]],'ATD Daily&gt; (2)'!T:T)</f>
        <v>3024</v>
      </c>
      <c r="M10">
        <f>SUMIF('ATD Daily&gt; (2)'!E:E,Table1[[#This Row],[Area/Location]],'ATD Daily&gt; (2)'!U:U)</f>
        <v>1326</v>
      </c>
      <c r="N10">
        <f>SUMIF('ATD &gt;'!$E:$E,Table1[[#This Row],[Area/Location]],'ATD &gt;'!Q:Q)</f>
        <v>2652000</v>
      </c>
      <c r="O10">
        <f>SUMIF('ATD &gt;'!$E:$E,Table1[[#This Row],[Area/Location]],'ATD &gt;'!R:R)</f>
        <v>2513980</v>
      </c>
      <c r="P10">
        <f>SUMIF('ATD Daily&gt; (2)'!E:E,Table1[[#This Row],[Area/Location]],'ATD Daily&gt; (2)'!T:T)</f>
        <v>3024</v>
      </c>
      <c r="Q10">
        <f>SUMIF('ATD Daily&gt; (2)'!E:E,Table1[[#This Row],[Area/Location]],'ATD Daily&gt; (2)'!U:U)</f>
        <v>1326</v>
      </c>
      <c r="S10">
        <f>Table1[[#This Row],[Target Hollandia Evap Milk 120g]]</f>
        <v>3024</v>
      </c>
      <c r="T10" s="483">
        <f>Table1[[#This Row],[Actual Hollandia Evap Milk 120g]]</f>
        <v>1326</v>
      </c>
    </row>
    <row r="11" spans="1:22">
      <c r="B11" t="str">
        <f>'[1]ATD &gt;'!D20</f>
        <v>West 2</v>
      </c>
      <c r="C11" t="s">
        <v>262</v>
      </c>
      <c r="D11" s="663" t="s">
        <v>259</v>
      </c>
      <c r="E11" t="str">
        <f>'[1]ATD &gt;'!G20</f>
        <v>YES</v>
      </c>
      <c r="F11">
        <f>SUMIF('ATD Daily&gt; (2)'!E:E,Table1[[#This Row],[Area/Location]],'ATD Daily&gt; (2)'!I:I)</f>
        <v>12</v>
      </c>
      <c r="G11">
        <f>SUMIF('ATD Daily&gt; (2)'!E:E,Table1[[#This Row],[Area/Location]],'ATD Daily&gt; (2)'!J:J)</f>
        <v>12</v>
      </c>
      <c r="H11" s="42">
        <f>SUMIF('ATD &gt;'!$E:$E,Table1[[#This Row],[Area/Location]],'ATD &gt;'!K:K)</f>
        <v>0</v>
      </c>
      <c r="I11">
        <f>SUMIF('ATD &gt;'!$E:$E,Table1[[#This Row],[Area/Location]],'ATD &gt;'!L:L)</f>
        <v>0</v>
      </c>
      <c r="J11">
        <f>Table1[[#This Row],[Man Days]]*120</f>
        <v>0</v>
      </c>
      <c r="K11">
        <f>Table1[[#This Row],[Target Consumer days]]</f>
        <v>0</v>
      </c>
      <c r="L11">
        <f>SUMIF('ATD Daily&gt; (2)'!E:E,Table1[[#This Row],[Area/Location]],'ATD Daily&gt; (2)'!T:T)</f>
        <v>2520</v>
      </c>
      <c r="M11">
        <f>SUMIF('ATD Daily&gt; (2)'!E:E,Table1[[#This Row],[Area/Location]],'ATD Daily&gt; (2)'!U:U)</f>
        <v>975</v>
      </c>
      <c r="N11">
        <f>SUMIF('ATD &gt;'!$E:$E,Table1[[#This Row],[Area/Location]],'ATD &gt;'!Q:Q)</f>
        <v>0</v>
      </c>
      <c r="O11">
        <f>SUMIF('ATD &gt;'!$E:$E,Table1[[#This Row],[Area/Location]],'ATD &gt;'!R:R)</f>
        <v>0</v>
      </c>
      <c r="P11">
        <f>SUMIF('ATD Daily&gt; (2)'!E:E,Table1[[#This Row],[Area/Location]],'ATD Daily&gt; (2)'!T:T)</f>
        <v>2520</v>
      </c>
      <c r="Q11">
        <f>SUMIF('ATD Daily&gt; (2)'!E:E,Table1[[#This Row],[Area/Location]],'ATD Daily&gt; (2)'!U:U)</f>
        <v>975</v>
      </c>
      <c r="S11">
        <f>Table1[[#This Row],[Target Hollandia Evap Milk 120g]]</f>
        <v>2520</v>
      </c>
      <c r="T11" s="483">
        <f>Table1[[#This Row],[Actual Hollandia Evap Milk 120g]]</f>
        <v>975</v>
      </c>
    </row>
    <row r="12" spans="1:22" ht="15" thickBot="1">
      <c r="B12" t="str">
        <f>'[1]ATD &gt;'!D21</f>
        <v>West 2</v>
      </c>
      <c r="C12" t="s">
        <v>274</v>
      </c>
      <c r="E12" t="str">
        <f>'[1]ATD &gt;'!G21</f>
        <v>YES</v>
      </c>
      <c r="F12">
        <f>SUMIF('ATD Daily&gt; (2)'!E:E,Table1[[#This Row],[Area/Location]],'ATD Daily&gt; (2)'!I:I)</f>
        <v>12</v>
      </c>
      <c r="G12">
        <f>SUMIF('ATD Daily&gt; (2)'!E:E,Table1[[#This Row],[Area/Location]],'ATD Daily&gt; (2)'!J:J)</f>
        <v>12</v>
      </c>
      <c r="H12" s="42">
        <f>SUMIF('ATD &gt;'!$E:$E,Table1[[#This Row],[Area/Location]],'ATD &gt;'!K:K)</f>
        <v>0</v>
      </c>
      <c r="I12">
        <f>SUMIF('ATD &gt;'!$E:$E,Table1[[#This Row],[Area/Location]],'ATD &gt;'!L:L)</f>
        <v>0</v>
      </c>
      <c r="J12">
        <f>Table1[[#This Row],[Man Days]]*120</f>
        <v>0</v>
      </c>
      <c r="K12">
        <f>Table1[[#This Row],[Target Consumer days]]</f>
        <v>0</v>
      </c>
      <c r="L12">
        <f>SUMIF('ATD Daily&gt; (2)'!E:E,Table1[[#This Row],[Area/Location]],'ATD Daily&gt; (2)'!T:T)</f>
        <v>4284</v>
      </c>
      <c r="M12">
        <f>SUMIF('ATD Daily&gt; (2)'!E:E,Table1[[#This Row],[Area/Location]],'ATD Daily&gt; (2)'!U:U)</f>
        <v>3804</v>
      </c>
      <c r="N12">
        <f>SUMIF('ATD &gt;'!$E:$E,Table1[[#This Row],[Area/Location]],'ATD &gt;'!Q:Q)</f>
        <v>0</v>
      </c>
      <c r="O12">
        <f>SUMIF('ATD &gt;'!$E:$E,Table1[[#This Row],[Area/Location]],'ATD &gt;'!R:R)</f>
        <v>0</v>
      </c>
      <c r="P12">
        <f>SUMIF('ATD Daily&gt; (2)'!E:E,Table1[[#This Row],[Area/Location]],'ATD Daily&gt; (2)'!T:T)</f>
        <v>4284</v>
      </c>
      <c r="Q12">
        <f>SUMIF('ATD Daily&gt; (2)'!E:E,Table1[[#This Row],[Area/Location]],'ATD Daily&gt; (2)'!U:U)</f>
        <v>3804</v>
      </c>
      <c r="S12">
        <f>Table1[[#This Row],[Target Hollandia Evap Milk 120g]]</f>
        <v>4284</v>
      </c>
      <c r="T12" s="483">
        <f>Table1[[#This Row],[Actual Hollandia Evap Milk 120g]]</f>
        <v>3804</v>
      </c>
    </row>
    <row r="13" spans="1:22">
      <c r="B13" t="str">
        <f>'[1]ATD &gt;'!D23</f>
        <v>West 2</v>
      </c>
      <c r="C13" t="s">
        <v>193</v>
      </c>
      <c r="D13" s="662" t="s">
        <v>258</v>
      </c>
      <c r="E13" t="str">
        <f>'[1]ATD &gt;'!G23</f>
        <v>YES</v>
      </c>
      <c r="F13">
        <f>SUMIF('ATD Daily&gt; (2)'!E:E,Table1[[#This Row],[Area/Location]],'ATD Daily&gt; (2)'!I:I)</f>
        <v>12</v>
      </c>
      <c r="G13">
        <f>SUMIF('ATD Daily&gt; (2)'!E:E,Table1[[#This Row],[Area/Location]],'ATD Daily&gt; (2)'!J:J)</f>
        <v>12</v>
      </c>
      <c r="H13" s="42">
        <f>SUMIF('ATD &gt;'!$E:$E,Table1[[#This Row],[Area/Location]],'ATD &gt;'!K:K)</f>
        <v>1</v>
      </c>
      <c r="I13">
        <f>SUMIF('ATD &gt;'!$E:$E,Table1[[#This Row],[Area/Location]],'ATD &gt;'!L:L)</f>
        <v>144</v>
      </c>
      <c r="J13">
        <f>Table1[[#This Row],[Man Days]]*120</f>
        <v>17280</v>
      </c>
      <c r="K13">
        <f>Table1[[#This Row],[Target Consumer days]]</f>
        <v>17280</v>
      </c>
      <c r="L13">
        <f>SUMIF('ATD Daily&gt; (2)'!E:E,Table1[[#This Row],[Area/Location]],'ATD Daily&gt; (2)'!T:T)</f>
        <v>3024</v>
      </c>
      <c r="M13">
        <f>SUMIF('ATD Daily&gt; (2)'!E:E,Table1[[#This Row],[Area/Location]],'ATD Daily&gt; (2)'!U:U)</f>
        <v>1686</v>
      </c>
      <c r="N13">
        <f>SUMIF('ATD &gt;'!$E:$E,Table1[[#This Row],[Area/Location]],'ATD &gt;'!Q:Q)</f>
        <v>3372000</v>
      </c>
      <c r="O13">
        <f>SUMIF('ATD &gt;'!$E:$E,Table1[[#This Row],[Area/Location]],'ATD &gt;'!R:R)</f>
        <v>3220296</v>
      </c>
      <c r="P13">
        <f>SUMIF('ATD Daily&gt; (2)'!E:E,Table1[[#This Row],[Area/Location]],'ATD Daily&gt; (2)'!T:T)</f>
        <v>3024</v>
      </c>
      <c r="Q13">
        <f>SUMIF('ATD Daily&gt; (2)'!E:E,Table1[[#This Row],[Area/Location]],'ATD Daily&gt; (2)'!U:U)</f>
        <v>1686</v>
      </c>
      <c r="S13">
        <f>Table1[[#This Row],[Target Hollandia Evap Milk 120g]]</f>
        <v>3024</v>
      </c>
      <c r="T13" s="483">
        <f>Table1[[#This Row],[Actual Hollandia Evap Milk 120g]]</f>
        <v>1686</v>
      </c>
    </row>
    <row r="14" spans="1:22">
      <c r="B14" t="str">
        <f>'[1]ATD &gt;'!D22</f>
        <v>West 2</v>
      </c>
      <c r="C14" t="s">
        <v>263</v>
      </c>
      <c r="D14" t="str">
        <f>'[1]ATD &gt;'!F22</f>
        <v>AKINGBOLU OPEYEMI</v>
      </c>
      <c r="E14" t="str">
        <f>'[1]ATD &gt;'!G22</f>
        <v>YES</v>
      </c>
      <c r="F14">
        <f>SUMIF('ATD Daily&gt; (2)'!E:E,Table1[[#This Row],[Area/Location]],'ATD Daily&gt; (2)'!I:I)</f>
        <v>12</v>
      </c>
      <c r="G14">
        <f>SUMIF('ATD Daily&gt; (2)'!E:E,Table1[[#This Row],[Area/Location]],'ATD Daily&gt; (2)'!J:J)</f>
        <v>12</v>
      </c>
      <c r="H14" s="42">
        <f>SUMIF('ATD &gt;'!$E:$E,Table1[[#This Row],[Area/Location]],'ATD &gt;'!K:K)</f>
        <v>0</v>
      </c>
      <c r="I14">
        <f>SUMIF('ATD &gt;'!$E:$E,Table1[[#This Row],[Area/Location]],'ATD &gt;'!L:L)</f>
        <v>0</v>
      </c>
      <c r="J14">
        <f>Table1[[#This Row],[Man Days]]*120</f>
        <v>0</v>
      </c>
      <c r="K14">
        <f>Table1[[#This Row],[Target Consumer days]]</f>
        <v>0</v>
      </c>
      <c r="L14">
        <f>SUMIF('ATD Daily&gt; (2)'!E:E,Table1[[#This Row],[Area/Location]],'ATD Daily&gt; (2)'!T:T)</f>
        <v>1008</v>
      </c>
      <c r="M14">
        <f>SUMIF('ATD Daily&gt; (2)'!E:E,Table1[[#This Row],[Area/Location]],'ATD Daily&gt; (2)'!U:U)</f>
        <v>391</v>
      </c>
      <c r="N14">
        <f>SUMIF('ATD &gt;'!$E:$E,Table1[[#This Row],[Area/Location]],'ATD &gt;'!Q:Q)</f>
        <v>0</v>
      </c>
      <c r="O14">
        <f>SUMIF('ATD &gt;'!$E:$E,Table1[[#This Row],[Area/Location]],'ATD &gt;'!R:R)</f>
        <v>0</v>
      </c>
      <c r="P14">
        <f>SUMIF('ATD Daily&gt; (2)'!E:E,Table1[[#This Row],[Area/Location]],'ATD Daily&gt; (2)'!T:T)</f>
        <v>1008</v>
      </c>
      <c r="Q14">
        <f>SUMIF('ATD Daily&gt; (2)'!E:E,Table1[[#This Row],[Area/Location]],'ATD Daily&gt; (2)'!U:U)</f>
        <v>391</v>
      </c>
      <c r="S14">
        <f>Table1[[#This Row],[Target Hollandia Evap Milk 120g]]</f>
        <v>1008</v>
      </c>
      <c r="T14" s="483">
        <f>Table1[[#This Row],[Actual Hollandia Evap Milk 120g]]</f>
        <v>391</v>
      </c>
    </row>
    <row r="15" spans="1:22">
      <c r="B15" t="str">
        <f>'[1]ATD &gt;'!D24</f>
        <v>West 2</v>
      </c>
      <c r="C15" t="str">
        <f>'[1]ATD &gt;'!E24</f>
        <v>Warri</v>
      </c>
      <c r="E15" t="str">
        <f>'[1]ATD &gt;'!G24</f>
        <v>YES</v>
      </c>
      <c r="F15">
        <f>SUMIF('ATD Daily&gt; (2)'!E:E,Table1[[#This Row],[Area/Location]],'ATD Daily&gt; (2)'!I:I)</f>
        <v>12</v>
      </c>
      <c r="G15">
        <f>SUMIF('ATD Daily&gt; (2)'!E:E,Table1[[#This Row],[Area/Location]],'ATD Daily&gt; (2)'!J:J)</f>
        <v>12</v>
      </c>
      <c r="H15" s="42">
        <f>SUMIF('ATD &gt;'!$E:$E,Table1[[#This Row],[Area/Location]],'ATD &gt;'!K:K)</f>
        <v>0</v>
      </c>
      <c r="I15">
        <f>SUMIF('ATD &gt;'!$E:$E,Table1[[#This Row],[Area/Location]],'ATD &gt;'!L:L)</f>
        <v>156</v>
      </c>
      <c r="J15">
        <f>Table1[[#This Row],[Man Days]]*120</f>
        <v>18720</v>
      </c>
      <c r="K15">
        <f>Table1[[#This Row],[Target Consumer days]]</f>
        <v>18720</v>
      </c>
      <c r="L15">
        <f>SUMIF('ATD Daily&gt; (2)'!E:E,Table1[[#This Row],[Area/Location]],'ATD Daily&gt; (2)'!T:T)</f>
        <v>3276</v>
      </c>
      <c r="M15">
        <f>SUMIF('ATD Daily&gt; (2)'!E:E,Table1[[#This Row],[Area/Location]],'ATD Daily&gt; (2)'!U:U)</f>
        <v>2550</v>
      </c>
      <c r="N15">
        <f>SUMIF('ATD &gt;'!$E:$E,Table1[[#This Row],[Area/Location]],'ATD &gt;'!Q:Q)</f>
        <v>5100000</v>
      </c>
      <c r="O15">
        <f>SUMIF('ATD &gt;'!$E:$E,Table1[[#This Row],[Area/Location]],'ATD &gt;'!R:R)</f>
        <v>4852412</v>
      </c>
      <c r="P15">
        <f>SUMIF('ATD Daily&gt; (2)'!E:E,Table1[[#This Row],[Area/Location]],'ATD Daily&gt; (2)'!T:T)</f>
        <v>3276</v>
      </c>
      <c r="Q15">
        <f>SUMIF('ATD Daily&gt; (2)'!E:E,Table1[[#This Row],[Area/Location]],'ATD Daily&gt; (2)'!U:U)</f>
        <v>2550</v>
      </c>
      <c r="S15">
        <f>Table1[[#This Row],[Target Hollandia Evap Milk 120g]]</f>
        <v>3276</v>
      </c>
      <c r="T15" s="483">
        <f>Table1[[#This Row],[Actual Hollandia Evap Milk 120g]]</f>
        <v>2550</v>
      </c>
    </row>
    <row r="16" spans="1:22">
      <c r="U16" s="483">
        <f>SUM(Table1[Total Volume])</f>
        <v>23118</v>
      </c>
      <c r="V16" s="42">
        <f>U16/T18</f>
        <v>1</v>
      </c>
    </row>
    <row r="17" spans="10:20" ht="15" thickBot="1">
      <c r="S17" s="484"/>
      <c r="T17" s="42"/>
    </row>
    <row r="18" spans="10:20" ht="15" thickTop="1">
      <c r="J18">
        <v>80</v>
      </c>
      <c r="S18" s="581">
        <f>SUM(Table1[Target Volume])</f>
        <v>37548</v>
      </c>
      <c r="T18" s="582">
        <f>SUM(Table1[Total Volume])</f>
        <v>23118</v>
      </c>
    </row>
    <row r="21" spans="10:20">
      <c r="T21" s="580">
        <f>T18/S18</f>
        <v>0.61569191434963244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6044-98CA-4D61-9AB3-C2EE2899AA32}">
  <dimension ref="B1:Y152"/>
  <sheetViews>
    <sheetView topLeftCell="E1" zoomScale="71" zoomScaleNormal="70" workbookViewId="0">
      <pane xSplit="3" ySplit="3" topLeftCell="H138" activePane="bottomRight" state="frozen"/>
      <selection activeCell="F79" sqref="F79"/>
      <selection pane="topRight" activeCell="F79" sqref="F79"/>
      <selection pane="bottomLeft" activeCell="F79" sqref="F79"/>
      <selection pane="bottomRight" activeCell="F79" sqref="F79"/>
    </sheetView>
  </sheetViews>
  <sheetFormatPr defaultColWidth="9" defaultRowHeight="14.4"/>
  <cols>
    <col min="2" max="2" width="11.6640625" customWidth="1"/>
    <col min="3" max="3" width="10" customWidth="1"/>
    <col min="4" max="4" width="12" style="460" customWidth="1"/>
    <col min="5" max="5" width="14.88671875" style="482" customWidth="1"/>
    <col min="7" max="7" width="19.109375" customWidth="1"/>
    <col min="8" max="8" width="16.6640625" customWidth="1"/>
    <col min="9" max="11" width="9.109375" customWidth="1"/>
    <col min="12" max="12" width="9.109375" style="42" customWidth="1"/>
    <col min="13" max="14" width="12.109375" customWidth="1"/>
    <col min="15" max="15" width="10.33203125" customWidth="1"/>
    <col min="16" max="17" width="9.109375" customWidth="1"/>
    <col min="18" max="18" width="16.77734375" style="42" customWidth="1"/>
    <col min="19" max="19" width="15.109375" style="43" customWidth="1"/>
    <col min="20" max="20" width="17.109375" style="43" customWidth="1"/>
    <col min="21" max="21" width="14" style="43" customWidth="1"/>
  </cols>
  <sheetData>
    <row r="1" spans="2:25" ht="15" thickBot="1">
      <c r="E1" s="461" t="s">
        <v>73</v>
      </c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3"/>
      <c r="T1" s="463"/>
      <c r="U1" s="463"/>
    </row>
    <row r="2" spans="2:25" ht="15" thickBot="1">
      <c r="E2" s="464"/>
      <c r="F2" s="2"/>
      <c r="G2" s="2"/>
      <c r="H2" s="2"/>
      <c r="I2" s="2"/>
      <c r="J2" s="465" t="s">
        <v>0</v>
      </c>
      <c r="K2" s="465"/>
      <c r="L2" s="465"/>
      <c r="M2" s="2"/>
      <c r="N2" s="2"/>
      <c r="O2" s="466" t="s">
        <v>1</v>
      </c>
      <c r="P2" s="467"/>
      <c r="Q2" s="467"/>
      <c r="R2" s="468"/>
      <c r="S2" s="469" t="s">
        <v>3</v>
      </c>
      <c r="T2" s="470"/>
      <c r="U2" s="471"/>
    </row>
    <row r="3" spans="2:25" s="12" customFormat="1" ht="85.5" customHeight="1" thickBot="1">
      <c r="B3" s="145" t="s">
        <v>148</v>
      </c>
      <c r="C3" s="145" t="s">
        <v>149</v>
      </c>
      <c r="D3" s="472" t="s">
        <v>150</v>
      </c>
      <c r="E3" s="473" t="s">
        <v>150</v>
      </c>
      <c r="F3" s="474" t="s">
        <v>6</v>
      </c>
      <c r="G3" s="475" t="s">
        <v>7</v>
      </c>
      <c r="H3" s="475" t="s">
        <v>8</v>
      </c>
      <c r="I3" s="475" t="s">
        <v>9</v>
      </c>
      <c r="J3" s="476" t="s">
        <v>11</v>
      </c>
      <c r="K3" s="476" t="s">
        <v>151</v>
      </c>
      <c r="L3" s="477" t="s">
        <v>13</v>
      </c>
      <c r="M3" s="478" t="s">
        <v>152</v>
      </c>
      <c r="N3" s="478" t="s">
        <v>236</v>
      </c>
      <c r="O3" s="478" t="s">
        <v>16</v>
      </c>
      <c r="P3" s="479" t="s">
        <v>20</v>
      </c>
      <c r="Q3" s="480"/>
      <c r="R3" s="481"/>
      <c r="S3" s="479" t="s">
        <v>3</v>
      </c>
      <c r="T3" s="480"/>
      <c r="U3" s="481"/>
    </row>
    <row r="4" spans="2:25" ht="15.6">
      <c r="B4" t="s">
        <v>208</v>
      </c>
      <c r="C4" t="s">
        <v>209</v>
      </c>
      <c r="D4" s="460">
        <v>46245</v>
      </c>
      <c r="E4" s="482">
        <v>46245</v>
      </c>
      <c r="F4" t="s">
        <v>30</v>
      </c>
      <c r="G4" t="s">
        <v>50</v>
      </c>
      <c r="H4" s="749" t="s">
        <v>189</v>
      </c>
      <c r="I4" t="s">
        <v>207</v>
      </c>
      <c r="J4">
        <v>12</v>
      </c>
      <c r="K4">
        <v>12</v>
      </c>
      <c r="M4">
        <v>1</v>
      </c>
      <c r="N4">
        <f>70*12</f>
        <v>840</v>
      </c>
      <c r="P4" s="647">
        <v>41</v>
      </c>
      <c r="Q4">
        <v>41</v>
      </c>
      <c r="S4" s="43">
        <f>Q4*2000</f>
        <v>82000</v>
      </c>
      <c r="T4" s="43">
        <v>77408</v>
      </c>
      <c r="W4" s="192">
        <v>62</v>
      </c>
      <c r="Y4" s="640" t="s">
        <v>31</v>
      </c>
    </row>
    <row r="5" spans="2:25" ht="15.6">
      <c r="E5" s="482">
        <v>46245</v>
      </c>
      <c r="F5" t="s">
        <v>30</v>
      </c>
      <c r="G5" t="s">
        <v>42</v>
      </c>
      <c r="H5" s="750" t="s">
        <v>43</v>
      </c>
      <c r="I5" t="s">
        <v>205</v>
      </c>
      <c r="J5">
        <v>12</v>
      </c>
      <c r="K5">
        <v>12</v>
      </c>
      <c r="M5">
        <v>1</v>
      </c>
      <c r="N5">
        <f t="shared" ref="N5:N70" si="0">70*12</f>
        <v>840</v>
      </c>
      <c r="P5" s="647">
        <v>53</v>
      </c>
      <c r="Q5">
        <v>53</v>
      </c>
      <c r="S5" s="43">
        <f t="shared" ref="S5:S80" si="1">Q5*2000</f>
        <v>106000</v>
      </c>
      <c r="T5" s="43">
        <v>100064</v>
      </c>
      <c r="W5" s="192"/>
      <c r="Y5" s="640"/>
    </row>
    <row r="6" spans="2:25" ht="15.6">
      <c r="B6" t="s">
        <v>208</v>
      </c>
      <c r="C6" t="s">
        <v>209</v>
      </c>
      <c r="D6" s="460">
        <v>46245</v>
      </c>
      <c r="E6" s="460">
        <v>46245</v>
      </c>
      <c r="F6" t="s">
        <v>61</v>
      </c>
      <c r="G6" t="s">
        <v>193</v>
      </c>
      <c r="H6" s="749" t="s">
        <v>210</v>
      </c>
      <c r="I6" t="s">
        <v>207</v>
      </c>
      <c r="J6">
        <v>12</v>
      </c>
      <c r="K6">
        <v>12</v>
      </c>
      <c r="M6">
        <v>1</v>
      </c>
      <c r="N6">
        <f t="shared" si="0"/>
        <v>840</v>
      </c>
      <c r="P6">
        <v>60</v>
      </c>
      <c r="Q6">
        <v>60</v>
      </c>
      <c r="S6" s="43">
        <f t="shared" si="1"/>
        <v>120000</v>
      </c>
      <c r="T6" s="43">
        <v>113280</v>
      </c>
      <c r="W6" s="192">
        <v>0</v>
      </c>
      <c r="Y6" s="640" t="s">
        <v>34</v>
      </c>
    </row>
    <row r="7" spans="2:25" ht="15.6">
      <c r="B7" t="s">
        <v>208</v>
      </c>
      <c r="C7" t="s">
        <v>209</v>
      </c>
      <c r="D7" s="460">
        <v>46246</v>
      </c>
      <c r="E7" s="460">
        <v>46246</v>
      </c>
      <c r="F7" t="s">
        <v>30</v>
      </c>
      <c r="G7" t="s">
        <v>211</v>
      </c>
      <c r="H7" s="749" t="s">
        <v>200</v>
      </c>
      <c r="I7" t="s">
        <v>207</v>
      </c>
      <c r="J7">
        <v>12</v>
      </c>
      <c r="K7">
        <v>12</v>
      </c>
      <c r="M7">
        <v>1</v>
      </c>
      <c r="N7">
        <f t="shared" si="0"/>
        <v>840</v>
      </c>
      <c r="P7" s="647">
        <v>48</v>
      </c>
      <c r="Q7">
        <v>48</v>
      </c>
      <c r="S7" s="43">
        <f t="shared" si="1"/>
        <v>96000</v>
      </c>
      <c r="T7" s="43">
        <v>90624</v>
      </c>
      <c r="W7" s="192">
        <v>0</v>
      </c>
      <c r="Y7" s="640" t="s">
        <v>36</v>
      </c>
    </row>
    <row r="8" spans="2:25" ht="15.6">
      <c r="B8" t="s">
        <v>208</v>
      </c>
      <c r="C8" t="s">
        <v>209</v>
      </c>
      <c r="D8" s="460">
        <v>46246</v>
      </c>
      <c r="E8" s="460">
        <v>46246</v>
      </c>
      <c r="F8" t="s">
        <v>30</v>
      </c>
      <c r="G8" t="s">
        <v>50</v>
      </c>
      <c r="H8" s="749" t="s">
        <v>189</v>
      </c>
      <c r="I8" t="s">
        <v>33</v>
      </c>
      <c r="J8">
        <v>12</v>
      </c>
      <c r="K8">
        <v>12</v>
      </c>
      <c r="M8">
        <v>1</v>
      </c>
      <c r="N8">
        <f t="shared" si="0"/>
        <v>840</v>
      </c>
      <c r="P8" s="647">
        <v>36</v>
      </c>
      <c r="Q8">
        <v>36</v>
      </c>
      <c r="S8" s="43">
        <f t="shared" si="1"/>
        <v>72000</v>
      </c>
      <c r="T8" s="43">
        <v>67968</v>
      </c>
      <c r="W8" s="192">
        <v>72</v>
      </c>
      <c r="Y8" s="640" t="s">
        <v>38</v>
      </c>
    </row>
    <row r="9" spans="2:25" ht="15.6">
      <c r="B9" t="s">
        <v>208</v>
      </c>
      <c r="C9" t="s">
        <v>209</v>
      </c>
      <c r="D9" s="460">
        <v>46246</v>
      </c>
      <c r="E9" s="460">
        <v>46246</v>
      </c>
      <c r="F9" t="s">
        <v>61</v>
      </c>
      <c r="G9" t="s">
        <v>193</v>
      </c>
      <c r="H9" s="749" t="s">
        <v>210</v>
      </c>
      <c r="I9" t="s">
        <v>207</v>
      </c>
      <c r="J9">
        <v>12</v>
      </c>
      <c r="K9">
        <v>12</v>
      </c>
      <c r="M9">
        <v>1</v>
      </c>
      <c r="N9">
        <f t="shared" si="0"/>
        <v>840</v>
      </c>
      <c r="P9">
        <v>72</v>
      </c>
      <c r="Q9">
        <v>72</v>
      </c>
      <c r="S9" s="43">
        <f t="shared" si="1"/>
        <v>144000</v>
      </c>
      <c r="T9" s="43">
        <v>135936</v>
      </c>
      <c r="W9" s="192">
        <v>0</v>
      </c>
      <c r="Y9" s="640" t="s">
        <v>39</v>
      </c>
    </row>
    <row r="10" spans="2:25" ht="15.6">
      <c r="B10" t="s">
        <v>208</v>
      </c>
      <c r="C10" t="s">
        <v>209</v>
      </c>
      <c r="D10" s="460">
        <v>46247</v>
      </c>
      <c r="E10" s="460">
        <v>46247</v>
      </c>
      <c r="F10" t="s">
        <v>30</v>
      </c>
      <c r="G10" t="s">
        <v>276</v>
      </c>
      <c r="H10" s="749" t="s">
        <v>261</v>
      </c>
      <c r="I10" t="s">
        <v>207</v>
      </c>
      <c r="J10">
        <v>12</v>
      </c>
      <c r="K10">
        <v>12</v>
      </c>
      <c r="M10">
        <v>1</v>
      </c>
      <c r="N10">
        <f t="shared" si="0"/>
        <v>840</v>
      </c>
      <c r="P10" s="342">
        <v>62</v>
      </c>
      <c r="Q10">
        <v>62</v>
      </c>
      <c r="S10" s="43">
        <f t="shared" si="1"/>
        <v>124000</v>
      </c>
      <c r="T10" s="43">
        <v>117651</v>
      </c>
      <c r="W10" s="192">
        <v>0</v>
      </c>
      <c r="Y10" s="640" t="s">
        <v>42</v>
      </c>
    </row>
    <row r="11" spans="2:25" ht="15.6">
      <c r="B11" t="s">
        <v>208</v>
      </c>
      <c r="C11" t="s">
        <v>209</v>
      </c>
      <c r="D11" s="460">
        <v>46125</v>
      </c>
      <c r="E11" s="460">
        <v>46125</v>
      </c>
      <c r="F11" t="s">
        <v>30</v>
      </c>
      <c r="G11" t="s">
        <v>38</v>
      </c>
      <c r="H11" s="751" t="s">
        <v>255</v>
      </c>
      <c r="I11" t="s">
        <v>207</v>
      </c>
      <c r="J11">
        <v>12</v>
      </c>
      <c r="K11">
        <v>12</v>
      </c>
      <c r="M11">
        <v>1</v>
      </c>
      <c r="N11">
        <f t="shared" si="0"/>
        <v>840</v>
      </c>
      <c r="P11" s="342">
        <v>72</v>
      </c>
      <c r="Q11">
        <v>72</v>
      </c>
      <c r="S11" s="43">
        <f t="shared" si="1"/>
        <v>144000</v>
      </c>
      <c r="T11" s="43">
        <v>135936</v>
      </c>
      <c r="W11" s="192">
        <v>0</v>
      </c>
      <c r="Y11" s="640" t="s">
        <v>44</v>
      </c>
    </row>
    <row r="12" spans="2:25" ht="16.2" thickBot="1">
      <c r="B12" t="s">
        <v>208</v>
      </c>
      <c r="C12" t="s">
        <v>209</v>
      </c>
      <c r="D12" s="460">
        <v>46004</v>
      </c>
      <c r="E12" s="460">
        <v>46004</v>
      </c>
      <c r="F12" t="s">
        <v>41</v>
      </c>
      <c r="G12" t="s">
        <v>211</v>
      </c>
      <c r="H12" s="749" t="s">
        <v>200</v>
      </c>
      <c r="I12" t="s">
        <v>207</v>
      </c>
      <c r="J12">
        <v>12</v>
      </c>
      <c r="K12">
        <v>12</v>
      </c>
      <c r="M12">
        <v>1</v>
      </c>
      <c r="N12">
        <f t="shared" si="0"/>
        <v>840</v>
      </c>
      <c r="P12" s="647">
        <v>32</v>
      </c>
      <c r="Q12">
        <v>32</v>
      </c>
      <c r="S12" s="43">
        <f t="shared" si="1"/>
        <v>64000</v>
      </c>
      <c r="T12" s="43">
        <v>60416</v>
      </c>
      <c r="W12" s="192">
        <v>0</v>
      </c>
      <c r="Y12" s="640" t="s">
        <v>46</v>
      </c>
    </row>
    <row r="13" spans="2:25" ht="15.6">
      <c r="B13" t="s">
        <v>208</v>
      </c>
      <c r="C13" t="s">
        <v>209</v>
      </c>
      <c r="D13" s="460">
        <v>45882</v>
      </c>
      <c r="E13" s="460">
        <v>45882</v>
      </c>
      <c r="F13" t="s">
        <v>41</v>
      </c>
      <c r="G13" t="s">
        <v>193</v>
      </c>
      <c r="H13" s="752" t="s">
        <v>258</v>
      </c>
      <c r="I13" t="s">
        <v>207</v>
      </c>
      <c r="J13">
        <v>12</v>
      </c>
      <c r="K13">
        <v>12</v>
      </c>
      <c r="M13">
        <v>1</v>
      </c>
      <c r="N13">
        <f t="shared" si="0"/>
        <v>840</v>
      </c>
      <c r="P13">
        <v>65</v>
      </c>
      <c r="Q13">
        <v>65</v>
      </c>
      <c r="S13" s="43">
        <f t="shared" si="1"/>
        <v>130000</v>
      </c>
      <c r="T13" s="43">
        <v>122720</v>
      </c>
      <c r="W13" s="192">
        <v>0</v>
      </c>
      <c r="Y13" s="640" t="s">
        <v>47</v>
      </c>
    </row>
    <row r="14" spans="2:25" ht="15.6">
      <c r="B14" t="s">
        <v>208</v>
      </c>
      <c r="C14" t="s">
        <v>209</v>
      </c>
      <c r="D14" s="460">
        <v>45760</v>
      </c>
      <c r="E14" s="460">
        <v>45760</v>
      </c>
      <c r="F14" t="s">
        <v>61</v>
      </c>
      <c r="G14" t="s">
        <v>262</v>
      </c>
      <c r="H14" s="753" t="s">
        <v>259</v>
      </c>
      <c r="I14" t="s">
        <v>207</v>
      </c>
      <c r="J14">
        <v>12</v>
      </c>
      <c r="K14">
        <v>12</v>
      </c>
      <c r="M14">
        <v>1</v>
      </c>
      <c r="N14">
        <f t="shared" si="0"/>
        <v>840</v>
      </c>
      <c r="P14">
        <v>97</v>
      </c>
      <c r="Q14">
        <v>97</v>
      </c>
      <c r="S14" s="43">
        <f t="shared" si="1"/>
        <v>194000</v>
      </c>
      <c r="T14" s="43">
        <v>183136</v>
      </c>
      <c r="W14" s="192">
        <v>80</v>
      </c>
      <c r="Y14" s="640" t="s">
        <v>48</v>
      </c>
    </row>
    <row r="15" spans="2:25" ht="15.6">
      <c r="B15" t="s">
        <v>208</v>
      </c>
      <c r="C15" t="s">
        <v>209</v>
      </c>
      <c r="D15" s="460">
        <v>45639</v>
      </c>
      <c r="E15" s="460">
        <v>45639</v>
      </c>
      <c r="F15" t="s">
        <v>61</v>
      </c>
      <c r="G15" t="s">
        <v>263</v>
      </c>
      <c r="H15" s="753" t="s">
        <v>260</v>
      </c>
      <c r="I15" t="s">
        <v>207</v>
      </c>
      <c r="J15">
        <v>12</v>
      </c>
      <c r="K15">
        <v>12</v>
      </c>
      <c r="M15">
        <v>1</v>
      </c>
      <c r="N15">
        <f t="shared" si="0"/>
        <v>840</v>
      </c>
      <c r="P15" s="342">
        <v>70</v>
      </c>
      <c r="Q15">
        <v>70</v>
      </c>
      <c r="S15" s="43">
        <f t="shared" si="1"/>
        <v>140000</v>
      </c>
      <c r="T15" s="43">
        <v>132160</v>
      </c>
      <c r="W15" s="192">
        <v>77</v>
      </c>
      <c r="Y15" s="640" t="s">
        <v>50</v>
      </c>
    </row>
    <row r="16" spans="2:25" ht="15.6">
      <c r="B16" t="s">
        <v>208</v>
      </c>
      <c r="C16" t="s">
        <v>209</v>
      </c>
      <c r="D16" s="460">
        <v>45517</v>
      </c>
      <c r="E16" s="460">
        <v>46248</v>
      </c>
      <c r="F16" t="s">
        <v>30</v>
      </c>
      <c r="G16" t="s">
        <v>276</v>
      </c>
      <c r="H16" s="749" t="s">
        <v>254</v>
      </c>
      <c r="I16" t="s">
        <v>207</v>
      </c>
      <c r="J16">
        <v>12</v>
      </c>
      <c r="K16">
        <v>12</v>
      </c>
      <c r="M16">
        <v>1</v>
      </c>
      <c r="N16">
        <f t="shared" si="0"/>
        <v>840</v>
      </c>
      <c r="P16">
        <v>52</v>
      </c>
      <c r="Q16">
        <v>52</v>
      </c>
      <c r="S16" s="43">
        <f t="shared" si="1"/>
        <v>104000</v>
      </c>
      <c r="T16" s="43">
        <v>98157</v>
      </c>
      <c r="W16" s="192">
        <v>0</v>
      </c>
      <c r="Y16" s="640" t="s">
        <v>53</v>
      </c>
    </row>
    <row r="17" spans="2:25" ht="15.6">
      <c r="B17" t="s">
        <v>208</v>
      </c>
      <c r="C17" t="s">
        <v>209</v>
      </c>
      <c r="D17" s="460">
        <v>45395</v>
      </c>
      <c r="E17" s="482">
        <v>46248</v>
      </c>
      <c r="F17" t="s">
        <v>30</v>
      </c>
      <c r="G17" t="s">
        <v>36</v>
      </c>
      <c r="H17" s="749" t="s">
        <v>265</v>
      </c>
      <c r="I17" t="s">
        <v>207</v>
      </c>
      <c r="J17">
        <v>12</v>
      </c>
      <c r="K17">
        <v>12</v>
      </c>
      <c r="M17">
        <v>1</v>
      </c>
      <c r="N17">
        <f t="shared" si="0"/>
        <v>840</v>
      </c>
      <c r="P17">
        <v>108</v>
      </c>
      <c r="Q17">
        <v>108</v>
      </c>
      <c r="S17" s="43">
        <f t="shared" si="1"/>
        <v>216000</v>
      </c>
      <c r="T17" s="43">
        <v>203904</v>
      </c>
      <c r="W17" s="192">
        <v>0</v>
      </c>
      <c r="Y17" s="640" t="s">
        <v>55</v>
      </c>
    </row>
    <row r="18" spans="2:25" ht="15.6">
      <c r="E18" s="460">
        <v>46248</v>
      </c>
      <c r="F18" t="s">
        <v>30</v>
      </c>
      <c r="G18" t="s">
        <v>38</v>
      </c>
      <c r="H18" s="749" t="s">
        <v>255</v>
      </c>
      <c r="I18" t="s">
        <v>207</v>
      </c>
      <c r="J18">
        <v>12</v>
      </c>
      <c r="K18">
        <v>12</v>
      </c>
      <c r="M18">
        <v>1</v>
      </c>
      <c r="N18">
        <f t="shared" si="0"/>
        <v>840</v>
      </c>
      <c r="P18">
        <v>76</v>
      </c>
      <c r="Q18">
        <v>76</v>
      </c>
      <c r="S18" s="43">
        <f t="shared" si="1"/>
        <v>152000</v>
      </c>
      <c r="T18" s="43">
        <v>143488</v>
      </c>
      <c r="W18" s="192"/>
      <c r="Y18" s="743"/>
    </row>
    <row r="19" spans="2:25">
      <c r="B19" t="s">
        <v>208</v>
      </c>
      <c r="C19" t="s">
        <v>209</v>
      </c>
      <c r="D19" s="460">
        <v>45273</v>
      </c>
      <c r="E19" s="460">
        <v>46248</v>
      </c>
      <c r="F19" t="s">
        <v>41</v>
      </c>
      <c r="G19" t="s">
        <v>153</v>
      </c>
      <c r="H19" s="750" t="s">
        <v>266</v>
      </c>
      <c r="I19" t="s">
        <v>207</v>
      </c>
      <c r="J19">
        <v>12</v>
      </c>
      <c r="K19">
        <v>12</v>
      </c>
      <c r="M19">
        <v>1</v>
      </c>
      <c r="N19">
        <f t="shared" si="0"/>
        <v>840</v>
      </c>
      <c r="P19">
        <v>150</v>
      </c>
      <c r="Q19">
        <v>150</v>
      </c>
      <c r="S19" s="43">
        <f t="shared" si="1"/>
        <v>300000</v>
      </c>
      <c r="T19" s="43">
        <v>283200</v>
      </c>
      <c r="W19" s="192">
        <v>0</v>
      </c>
      <c r="Y19" s="641" t="s">
        <v>57</v>
      </c>
    </row>
    <row r="20" spans="2:25" ht="15.6">
      <c r="B20" t="s">
        <v>208</v>
      </c>
      <c r="C20" t="s">
        <v>209</v>
      </c>
      <c r="D20" s="460">
        <v>45151</v>
      </c>
      <c r="E20" s="482">
        <v>46248</v>
      </c>
      <c r="F20" t="s">
        <v>41</v>
      </c>
      <c r="G20" t="s">
        <v>47</v>
      </c>
      <c r="H20" s="749" t="s">
        <v>267</v>
      </c>
      <c r="I20" t="s">
        <v>207</v>
      </c>
      <c r="J20">
        <v>12</v>
      </c>
      <c r="K20">
        <v>12</v>
      </c>
      <c r="M20">
        <v>1</v>
      </c>
      <c r="N20">
        <f t="shared" si="0"/>
        <v>840</v>
      </c>
      <c r="P20">
        <v>85</v>
      </c>
      <c r="Q20">
        <v>85</v>
      </c>
      <c r="S20" s="43">
        <f t="shared" si="1"/>
        <v>170000</v>
      </c>
      <c r="T20" s="43">
        <v>160480</v>
      </c>
      <c r="W20" s="192">
        <v>0</v>
      </c>
      <c r="Y20" s="640" t="s">
        <v>59</v>
      </c>
    </row>
    <row r="21" spans="2:25" ht="15.6">
      <c r="B21" t="s">
        <v>208</v>
      </c>
      <c r="C21" t="s">
        <v>209</v>
      </c>
      <c r="D21" s="460">
        <v>45029</v>
      </c>
      <c r="E21" s="460">
        <v>46248</v>
      </c>
      <c r="F21" t="s">
        <v>30</v>
      </c>
      <c r="G21" t="s">
        <v>48</v>
      </c>
      <c r="H21" s="749" t="s">
        <v>256</v>
      </c>
      <c r="I21" t="s">
        <v>207</v>
      </c>
      <c r="J21">
        <v>12</v>
      </c>
      <c r="K21">
        <v>12</v>
      </c>
      <c r="M21">
        <v>1</v>
      </c>
      <c r="N21">
        <f t="shared" si="0"/>
        <v>840</v>
      </c>
      <c r="P21">
        <v>72</v>
      </c>
      <c r="Q21">
        <v>72</v>
      </c>
      <c r="S21" s="43">
        <f t="shared" si="1"/>
        <v>144000</v>
      </c>
      <c r="T21" s="43">
        <v>135936</v>
      </c>
      <c r="W21" s="192">
        <v>0</v>
      </c>
      <c r="Y21" s="640" t="s">
        <v>62</v>
      </c>
    </row>
    <row r="22" spans="2:25" ht="16.2" thickBot="1">
      <c r="B22" t="s">
        <v>208</v>
      </c>
      <c r="C22" t="s">
        <v>209</v>
      </c>
      <c r="D22" s="460">
        <v>44908</v>
      </c>
      <c r="E22" s="482">
        <v>46248</v>
      </c>
      <c r="F22" t="s">
        <v>30</v>
      </c>
      <c r="G22" t="s">
        <v>50</v>
      </c>
      <c r="H22" s="749" t="s">
        <v>257</v>
      </c>
      <c r="I22" t="s">
        <v>207</v>
      </c>
      <c r="J22">
        <v>12</v>
      </c>
      <c r="K22">
        <v>12</v>
      </c>
      <c r="M22">
        <v>1</v>
      </c>
      <c r="N22">
        <f t="shared" si="0"/>
        <v>840</v>
      </c>
      <c r="P22">
        <v>78</v>
      </c>
      <c r="Q22">
        <v>78</v>
      </c>
      <c r="S22" s="43">
        <f t="shared" si="1"/>
        <v>156000</v>
      </c>
      <c r="T22" s="43">
        <v>147264</v>
      </c>
      <c r="W22" s="192">
        <v>0</v>
      </c>
      <c r="Y22" s="640" t="s">
        <v>64</v>
      </c>
    </row>
    <row r="23" spans="2:25" ht="15.6">
      <c r="B23" t="s">
        <v>208</v>
      </c>
      <c r="C23" t="s">
        <v>209</v>
      </c>
      <c r="D23" s="460">
        <v>44786</v>
      </c>
      <c r="E23" s="460">
        <v>46248</v>
      </c>
      <c r="F23" t="s">
        <v>61</v>
      </c>
      <c r="G23" t="s">
        <v>193</v>
      </c>
      <c r="H23" s="752" t="s">
        <v>258</v>
      </c>
      <c r="I23" t="s">
        <v>207</v>
      </c>
      <c r="J23">
        <v>12</v>
      </c>
      <c r="K23">
        <v>12</v>
      </c>
      <c r="M23">
        <v>1</v>
      </c>
      <c r="N23">
        <f t="shared" si="0"/>
        <v>840</v>
      </c>
      <c r="P23">
        <v>95</v>
      </c>
      <c r="Q23">
        <v>95</v>
      </c>
      <c r="S23" s="43">
        <f t="shared" si="1"/>
        <v>190000</v>
      </c>
      <c r="T23" s="43">
        <v>179360</v>
      </c>
      <c r="W23" s="192">
        <v>70</v>
      </c>
      <c r="Y23" s="640" t="s">
        <v>263</v>
      </c>
    </row>
    <row r="24" spans="2:25" ht="15.6">
      <c r="E24" s="482">
        <v>46248</v>
      </c>
      <c r="F24" t="s">
        <v>61</v>
      </c>
      <c r="G24" t="s">
        <v>262</v>
      </c>
      <c r="H24" s="753" t="s">
        <v>259</v>
      </c>
      <c r="I24" t="s">
        <v>207</v>
      </c>
      <c r="J24">
        <v>12</v>
      </c>
      <c r="K24">
        <v>12</v>
      </c>
      <c r="M24">
        <v>1</v>
      </c>
      <c r="N24">
        <f t="shared" si="0"/>
        <v>840</v>
      </c>
      <c r="P24">
        <v>112</v>
      </c>
      <c r="Q24">
        <v>112</v>
      </c>
      <c r="S24" s="43">
        <f t="shared" si="1"/>
        <v>224000</v>
      </c>
      <c r="T24" s="43">
        <v>211456</v>
      </c>
      <c r="W24" s="192">
        <v>197</v>
      </c>
      <c r="Y24" s="640" t="s">
        <v>193</v>
      </c>
    </row>
    <row r="25" spans="2:25" ht="15.6">
      <c r="E25" s="460">
        <v>46248</v>
      </c>
      <c r="F25" t="s">
        <v>61</v>
      </c>
      <c r="G25" t="s">
        <v>263</v>
      </c>
      <c r="H25" s="753" t="s">
        <v>260</v>
      </c>
      <c r="I25" t="s">
        <v>207</v>
      </c>
      <c r="J25">
        <v>12</v>
      </c>
      <c r="K25">
        <v>12</v>
      </c>
      <c r="M25">
        <v>1</v>
      </c>
      <c r="N25">
        <f t="shared" si="0"/>
        <v>840</v>
      </c>
      <c r="P25">
        <v>151</v>
      </c>
      <c r="Q25">
        <v>151</v>
      </c>
      <c r="S25" s="43">
        <f t="shared" si="1"/>
        <v>302000</v>
      </c>
      <c r="T25" s="43">
        <v>285088</v>
      </c>
      <c r="W25" s="192">
        <v>0</v>
      </c>
      <c r="Y25" s="640" t="s">
        <v>69</v>
      </c>
    </row>
    <row r="26" spans="2:25">
      <c r="E26" s="482">
        <v>46248</v>
      </c>
      <c r="F26" t="s">
        <v>61</v>
      </c>
      <c r="G26" t="s">
        <v>69</v>
      </c>
      <c r="H26" s="753" t="s">
        <v>268</v>
      </c>
      <c r="I26" t="s">
        <v>207</v>
      </c>
      <c r="J26">
        <v>12</v>
      </c>
      <c r="K26">
        <v>12</v>
      </c>
      <c r="M26">
        <v>1</v>
      </c>
      <c r="N26">
        <f t="shared" si="0"/>
        <v>840</v>
      </c>
      <c r="P26">
        <v>90</v>
      </c>
      <c r="Q26">
        <v>90</v>
      </c>
      <c r="R26" s="666"/>
      <c r="S26" s="43">
        <f t="shared" si="1"/>
        <v>180000</v>
      </c>
      <c r="T26" s="43">
        <v>169920</v>
      </c>
    </row>
    <row r="27" spans="2:25">
      <c r="E27" s="482">
        <v>46249</v>
      </c>
      <c r="F27" t="s">
        <v>30</v>
      </c>
      <c r="G27" t="s">
        <v>276</v>
      </c>
      <c r="H27" s="749" t="s">
        <v>261</v>
      </c>
      <c r="I27" t="s">
        <v>205</v>
      </c>
      <c r="J27">
        <v>12</v>
      </c>
      <c r="K27">
        <v>12</v>
      </c>
      <c r="M27">
        <v>1</v>
      </c>
      <c r="N27">
        <f t="shared" si="0"/>
        <v>840</v>
      </c>
      <c r="P27">
        <v>46</v>
      </c>
      <c r="Q27">
        <v>43</v>
      </c>
      <c r="S27" s="43">
        <f t="shared" si="1"/>
        <v>86000</v>
      </c>
      <c r="T27" s="43">
        <v>80939</v>
      </c>
    </row>
    <row r="28" spans="2:25">
      <c r="E28" s="482">
        <v>46249</v>
      </c>
      <c r="F28" t="s">
        <v>30</v>
      </c>
      <c r="G28" t="s">
        <v>36</v>
      </c>
      <c r="H28" s="750" t="s">
        <v>272</v>
      </c>
      <c r="I28" t="s">
        <v>205</v>
      </c>
      <c r="J28">
        <v>12</v>
      </c>
      <c r="K28">
        <v>12</v>
      </c>
      <c r="M28">
        <v>1</v>
      </c>
      <c r="N28">
        <f t="shared" si="0"/>
        <v>840</v>
      </c>
      <c r="P28">
        <v>138</v>
      </c>
      <c r="Q28">
        <v>138</v>
      </c>
      <c r="S28" s="43">
        <f t="shared" si="1"/>
        <v>276000</v>
      </c>
      <c r="T28" s="43">
        <v>260544</v>
      </c>
    </row>
    <row r="29" spans="2:25">
      <c r="E29" s="482">
        <v>46249</v>
      </c>
      <c r="F29" t="s">
        <v>30</v>
      </c>
      <c r="G29" t="s">
        <v>38</v>
      </c>
      <c r="H29" s="750" t="s">
        <v>255</v>
      </c>
      <c r="I29" t="s">
        <v>207</v>
      </c>
      <c r="J29">
        <v>12</v>
      </c>
      <c r="K29">
        <v>12</v>
      </c>
      <c r="M29">
        <v>1</v>
      </c>
      <c r="N29">
        <f t="shared" si="0"/>
        <v>840</v>
      </c>
      <c r="P29">
        <v>84</v>
      </c>
      <c r="Q29">
        <v>84</v>
      </c>
      <c r="S29" s="43">
        <f t="shared" si="1"/>
        <v>168000</v>
      </c>
      <c r="T29" s="43">
        <v>158592</v>
      </c>
    </row>
    <row r="30" spans="2:25">
      <c r="E30" s="482">
        <v>46249</v>
      </c>
      <c r="F30" t="s">
        <v>41</v>
      </c>
      <c r="G30" t="s">
        <v>153</v>
      </c>
      <c r="H30" s="749" t="s">
        <v>266</v>
      </c>
      <c r="I30" t="s">
        <v>205</v>
      </c>
      <c r="J30">
        <v>12</v>
      </c>
      <c r="K30">
        <v>12</v>
      </c>
      <c r="M30">
        <v>1</v>
      </c>
      <c r="N30">
        <f t="shared" si="0"/>
        <v>840</v>
      </c>
      <c r="P30">
        <v>120</v>
      </c>
      <c r="Q30">
        <v>120</v>
      </c>
      <c r="S30" s="43">
        <f t="shared" si="1"/>
        <v>240000</v>
      </c>
      <c r="T30" s="43">
        <v>226560</v>
      </c>
    </row>
    <row r="31" spans="2:25">
      <c r="E31" s="482">
        <v>46249</v>
      </c>
      <c r="F31" t="s">
        <v>41</v>
      </c>
      <c r="G31" t="s">
        <v>47</v>
      </c>
      <c r="H31" s="749" t="s">
        <v>267</v>
      </c>
      <c r="I31" t="s">
        <v>207</v>
      </c>
      <c r="J31">
        <v>12</v>
      </c>
      <c r="K31">
        <v>12</v>
      </c>
      <c r="M31">
        <v>1</v>
      </c>
      <c r="N31">
        <f t="shared" si="0"/>
        <v>840</v>
      </c>
      <c r="P31">
        <v>90</v>
      </c>
      <c r="Q31">
        <v>90</v>
      </c>
      <c r="S31" s="43">
        <f t="shared" si="1"/>
        <v>180000</v>
      </c>
      <c r="T31" s="43">
        <v>169920</v>
      </c>
    </row>
    <row r="32" spans="2:25">
      <c r="E32" s="482">
        <v>46249</v>
      </c>
      <c r="F32" t="s">
        <v>41</v>
      </c>
      <c r="G32" t="s">
        <v>48</v>
      </c>
      <c r="H32" s="749" t="s">
        <v>256</v>
      </c>
      <c r="I32" t="s">
        <v>205</v>
      </c>
      <c r="J32">
        <v>12</v>
      </c>
      <c r="K32">
        <v>12</v>
      </c>
      <c r="M32">
        <v>1</v>
      </c>
      <c r="N32">
        <f t="shared" si="0"/>
        <v>840</v>
      </c>
      <c r="P32">
        <v>138</v>
      </c>
      <c r="Q32">
        <v>138</v>
      </c>
      <c r="S32" s="43">
        <f t="shared" si="1"/>
        <v>276000</v>
      </c>
      <c r="T32" s="43">
        <v>260544</v>
      </c>
    </row>
    <row r="33" spans="5:20" ht="15" thickBot="1">
      <c r="E33" s="482">
        <v>46249</v>
      </c>
      <c r="F33" t="s">
        <v>41</v>
      </c>
      <c r="G33" t="s">
        <v>50</v>
      </c>
      <c r="H33" s="749" t="s">
        <v>257</v>
      </c>
      <c r="I33" t="s">
        <v>207</v>
      </c>
      <c r="J33">
        <v>12</v>
      </c>
      <c r="K33">
        <v>12</v>
      </c>
      <c r="M33">
        <v>1</v>
      </c>
      <c r="N33">
        <f t="shared" si="0"/>
        <v>840</v>
      </c>
      <c r="P33">
        <v>62</v>
      </c>
      <c r="Q33">
        <v>62</v>
      </c>
      <c r="S33" s="43">
        <f t="shared" si="1"/>
        <v>124000</v>
      </c>
      <c r="T33" s="43">
        <v>117056</v>
      </c>
    </row>
    <row r="34" spans="5:20">
      <c r="E34" s="482">
        <v>46249</v>
      </c>
      <c r="F34" t="s">
        <v>61</v>
      </c>
      <c r="G34" t="s">
        <v>193</v>
      </c>
      <c r="H34" s="752" t="s">
        <v>258</v>
      </c>
      <c r="I34" t="s">
        <v>205</v>
      </c>
      <c r="J34">
        <v>12</v>
      </c>
      <c r="K34">
        <v>12</v>
      </c>
      <c r="M34">
        <v>1</v>
      </c>
      <c r="N34">
        <f t="shared" si="0"/>
        <v>840</v>
      </c>
      <c r="P34">
        <v>110</v>
      </c>
      <c r="Q34">
        <v>110</v>
      </c>
      <c r="S34" s="43">
        <f t="shared" si="1"/>
        <v>220000</v>
      </c>
      <c r="T34" s="43">
        <v>207680</v>
      </c>
    </row>
    <row r="35" spans="5:20">
      <c r="E35" s="482">
        <v>46249</v>
      </c>
      <c r="F35" t="s">
        <v>61</v>
      </c>
      <c r="G35" t="s">
        <v>262</v>
      </c>
      <c r="H35" s="753" t="s">
        <v>259</v>
      </c>
      <c r="I35" t="s">
        <v>207</v>
      </c>
      <c r="J35">
        <v>12</v>
      </c>
      <c r="K35">
        <v>12</v>
      </c>
      <c r="M35">
        <v>1</v>
      </c>
      <c r="N35">
        <f t="shared" si="0"/>
        <v>840</v>
      </c>
      <c r="P35">
        <v>126</v>
      </c>
      <c r="Q35">
        <v>126</v>
      </c>
      <c r="S35" s="43">
        <f t="shared" si="1"/>
        <v>252000</v>
      </c>
      <c r="T35" s="43">
        <v>237888</v>
      </c>
    </row>
    <row r="36" spans="5:20">
      <c r="E36" s="482">
        <v>46249</v>
      </c>
      <c r="F36" t="s">
        <v>61</v>
      </c>
      <c r="G36" t="s">
        <v>263</v>
      </c>
      <c r="H36" s="753" t="s">
        <v>260</v>
      </c>
      <c r="I36" t="s">
        <v>205</v>
      </c>
      <c r="J36">
        <v>12</v>
      </c>
      <c r="K36">
        <v>12</v>
      </c>
      <c r="M36">
        <v>1</v>
      </c>
      <c r="N36">
        <f t="shared" si="0"/>
        <v>840</v>
      </c>
      <c r="P36">
        <v>100</v>
      </c>
      <c r="Q36">
        <v>100</v>
      </c>
      <c r="S36" s="43">
        <f t="shared" si="1"/>
        <v>200000</v>
      </c>
      <c r="T36" s="43">
        <v>188800</v>
      </c>
    </row>
    <row r="37" spans="5:20">
      <c r="E37" s="482">
        <v>46249</v>
      </c>
      <c r="F37" t="s">
        <v>61</v>
      </c>
      <c r="G37" t="s">
        <v>69</v>
      </c>
      <c r="H37" s="753" t="s">
        <v>268</v>
      </c>
      <c r="I37" t="s">
        <v>207</v>
      </c>
      <c r="J37">
        <v>12</v>
      </c>
      <c r="K37">
        <v>12</v>
      </c>
      <c r="M37">
        <v>1</v>
      </c>
      <c r="N37">
        <f t="shared" si="0"/>
        <v>840</v>
      </c>
      <c r="P37">
        <v>108</v>
      </c>
      <c r="Q37">
        <v>108</v>
      </c>
      <c r="S37" s="43">
        <f t="shared" si="1"/>
        <v>216000</v>
      </c>
      <c r="T37" s="43">
        <v>203904</v>
      </c>
    </row>
    <row r="38" spans="5:20">
      <c r="E38" s="482">
        <v>46251</v>
      </c>
      <c r="F38" t="s">
        <v>30</v>
      </c>
      <c r="G38" t="s">
        <v>38</v>
      </c>
      <c r="H38" t="s">
        <v>255</v>
      </c>
      <c r="I38" t="s">
        <v>207</v>
      </c>
      <c r="J38">
        <v>12</v>
      </c>
      <c r="K38">
        <v>12</v>
      </c>
      <c r="M38">
        <v>1</v>
      </c>
      <c r="N38">
        <f t="shared" si="0"/>
        <v>840</v>
      </c>
      <c r="P38">
        <v>102</v>
      </c>
      <c r="Q38">
        <v>102</v>
      </c>
      <c r="S38" s="43">
        <f t="shared" si="1"/>
        <v>204000</v>
      </c>
      <c r="T38" s="43">
        <v>192576</v>
      </c>
    </row>
    <row r="39" spans="5:20">
      <c r="E39" s="482">
        <v>46251</v>
      </c>
      <c r="F39" t="s">
        <v>30</v>
      </c>
      <c r="G39" t="s">
        <v>39</v>
      </c>
      <c r="H39" t="s">
        <v>273</v>
      </c>
      <c r="I39" t="s">
        <v>205</v>
      </c>
      <c r="J39">
        <v>12</v>
      </c>
      <c r="K39">
        <v>12</v>
      </c>
      <c r="M39">
        <v>1</v>
      </c>
      <c r="N39">
        <f t="shared" si="0"/>
        <v>840</v>
      </c>
      <c r="P39">
        <v>72</v>
      </c>
      <c r="Q39">
        <v>72</v>
      </c>
      <c r="S39" s="43">
        <f t="shared" si="1"/>
        <v>144000</v>
      </c>
      <c r="T39" s="43">
        <v>135936</v>
      </c>
    </row>
    <row r="40" spans="5:20">
      <c r="E40" s="482">
        <v>46251</v>
      </c>
      <c r="F40" t="s">
        <v>41</v>
      </c>
      <c r="G40" t="s">
        <v>153</v>
      </c>
      <c r="H40" t="s">
        <v>266</v>
      </c>
      <c r="I40" t="s">
        <v>207</v>
      </c>
      <c r="J40">
        <v>12</v>
      </c>
      <c r="K40">
        <v>12</v>
      </c>
      <c r="M40">
        <v>1</v>
      </c>
      <c r="N40">
        <f t="shared" si="0"/>
        <v>840</v>
      </c>
      <c r="P40">
        <v>168</v>
      </c>
      <c r="Q40">
        <v>168</v>
      </c>
      <c r="S40" s="43">
        <f t="shared" si="1"/>
        <v>336000</v>
      </c>
      <c r="T40" s="43">
        <v>317184</v>
      </c>
    </row>
    <row r="41" spans="5:20">
      <c r="E41" s="482">
        <v>46251</v>
      </c>
      <c r="F41" t="s">
        <v>41</v>
      </c>
      <c r="G41" t="s">
        <v>47</v>
      </c>
      <c r="H41" t="s">
        <v>267</v>
      </c>
      <c r="I41" t="s">
        <v>205</v>
      </c>
      <c r="J41">
        <v>12</v>
      </c>
      <c r="K41">
        <v>12</v>
      </c>
      <c r="M41">
        <v>1</v>
      </c>
      <c r="N41">
        <f t="shared" si="0"/>
        <v>840</v>
      </c>
      <c r="P41">
        <v>227</v>
      </c>
      <c r="Q41">
        <v>227</v>
      </c>
      <c r="S41" s="43">
        <f t="shared" si="1"/>
        <v>454000</v>
      </c>
      <c r="T41" s="43">
        <v>428576</v>
      </c>
    </row>
    <row r="42" spans="5:20">
      <c r="E42" s="482">
        <v>46251</v>
      </c>
      <c r="F42" t="s">
        <v>41</v>
      </c>
      <c r="G42" t="s">
        <v>48</v>
      </c>
      <c r="H42" t="s">
        <v>256</v>
      </c>
      <c r="I42" t="s">
        <v>207</v>
      </c>
      <c r="J42">
        <v>12</v>
      </c>
      <c r="K42">
        <v>12</v>
      </c>
      <c r="M42">
        <v>1</v>
      </c>
      <c r="N42">
        <f t="shared" si="0"/>
        <v>840</v>
      </c>
      <c r="P42">
        <v>60</v>
      </c>
      <c r="Q42">
        <v>60</v>
      </c>
      <c r="S42" s="43">
        <f t="shared" si="1"/>
        <v>120000</v>
      </c>
      <c r="T42" s="43">
        <v>113280</v>
      </c>
    </row>
    <row r="43" spans="5:20">
      <c r="E43" s="482">
        <v>46251</v>
      </c>
      <c r="F43" t="s">
        <v>41</v>
      </c>
      <c r="G43" t="s">
        <v>50</v>
      </c>
      <c r="H43" t="s">
        <v>257</v>
      </c>
      <c r="I43" t="s">
        <v>205</v>
      </c>
      <c r="J43">
        <v>12</v>
      </c>
      <c r="K43">
        <v>12</v>
      </c>
      <c r="M43">
        <v>1</v>
      </c>
      <c r="N43">
        <f t="shared" si="0"/>
        <v>840</v>
      </c>
      <c r="P43">
        <v>90</v>
      </c>
      <c r="Q43">
        <v>90</v>
      </c>
      <c r="S43" s="43">
        <f t="shared" si="1"/>
        <v>180000</v>
      </c>
      <c r="T43" s="43">
        <v>169920</v>
      </c>
    </row>
    <row r="44" spans="5:20">
      <c r="E44" s="482">
        <v>46251</v>
      </c>
      <c r="F44" t="s">
        <v>61</v>
      </c>
      <c r="G44" t="s">
        <v>193</v>
      </c>
      <c r="H44" t="s">
        <v>258</v>
      </c>
      <c r="I44" t="s">
        <v>207</v>
      </c>
      <c r="J44">
        <v>12</v>
      </c>
      <c r="K44">
        <v>12</v>
      </c>
      <c r="M44">
        <v>1</v>
      </c>
      <c r="N44">
        <f t="shared" si="0"/>
        <v>840</v>
      </c>
      <c r="P44">
        <v>80</v>
      </c>
      <c r="Q44">
        <v>80</v>
      </c>
      <c r="S44" s="43">
        <f t="shared" si="1"/>
        <v>160000</v>
      </c>
      <c r="T44" s="43">
        <v>151040</v>
      </c>
    </row>
    <row r="45" spans="5:20">
      <c r="E45" s="482">
        <v>46251</v>
      </c>
      <c r="F45" t="s">
        <v>61</v>
      </c>
      <c r="G45" t="s">
        <v>262</v>
      </c>
      <c r="H45" t="s">
        <v>259</v>
      </c>
      <c r="I45" t="s">
        <v>205</v>
      </c>
      <c r="J45">
        <v>12</v>
      </c>
      <c r="K45">
        <v>12</v>
      </c>
      <c r="M45">
        <v>1</v>
      </c>
      <c r="N45">
        <f t="shared" si="0"/>
        <v>840</v>
      </c>
      <c r="P45">
        <v>45</v>
      </c>
      <c r="Q45">
        <v>45</v>
      </c>
      <c r="S45" s="43">
        <f t="shared" si="1"/>
        <v>90000</v>
      </c>
      <c r="T45" s="43">
        <v>84960</v>
      </c>
    </row>
    <row r="46" spans="5:20">
      <c r="E46" s="482">
        <v>46251</v>
      </c>
      <c r="F46" t="s">
        <v>61</v>
      </c>
      <c r="G46" t="s">
        <v>69</v>
      </c>
      <c r="H46" t="s">
        <v>268</v>
      </c>
      <c r="I46" t="s">
        <v>205</v>
      </c>
      <c r="J46">
        <v>12</v>
      </c>
      <c r="K46">
        <v>12</v>
      </c>
      <c r="M46">
        <v>1</v>
      </c>
      <c r="N46">
        <f t="shared" si="0"/>
        <v>840</v>
      </c>
      <c r="P46">
        <v>252</v>
      </c>
      <c r="Q46">
        <v>252</v>
      </c>
      <c r="S46" s="43">
        <f t="shared" si="1"/>
        <v>504000</v>
      </c>
      <c r="T46" s="43">
        <v>475776</v>
      </c>
    </row>
    <row r="47" spans="5:20">
      <c r="E47" s="482">
        <v>46251</v>
      </c>
      <c r="F47" t="s">
        <v>61</v>
      </c>
      <c r="G47" t="s">
        <v>274</v>
      </c>
      <c r="H47" t="s">
        <v>275</v>
      </c>
      <c r="I47" t="s">
        <v>207</v>
      </c>
      <c r="J47">
        <v>12</v>
      </c>
      <c r="K47">
        <v>12</v>
      </c>
      <c r="M47">
        <v>1</v>
      </c>
      <c r="N47">
        <f t="shared" si="0"/>
        <v>840</v>
      </c>
      <c r="P47">
        <v>114</v>
      </c>
      <c r="Q47">
        <v>114</v>
      </c>
      <c r="S47" s="43">
        <f t="shared" si="1"/>
        <v>228000</v>
      </c>
      <c r="T47" s="43">
        <v>215232</v>
      </c>
    </row>
    <row r="48" spans="5:20">
      <c r="E48" s="482">
        <v>46191</v>
      </c>
      <c r="F48" s="757" t="s">
        <v>30</v>
      </c>
      <c r="G48" s="757" t="s">
        <v>36</v>
      </c>
      <c r="I48" t="s">
        <v>207</v>
      </c>
      <c r="J48">
        <v>12</v>
      </c>
      <c r="K48">
        <v>12</v>
      </c>
      <c r="M48">
        <v>1</v>
      </c>
      <c r="N48">
        <f t="shared" si="0"/>
        <v>840</v>
      </c>
      <c r="P48">
        <v>246</v>
      </c>
      <c r="Q48">
        <v>246</v>
      </c>
      <c r="S48" s="43">
        <f t="shared" si="1"/>
        <v>492000</v>
      </c>
      <c r="T48" s="43">
        <v>464448</v>
      </c>
    </row>
    <row r="49" spans="5:20">
      <c r="E49" s="482">
        <v>46191</v>
      </c>
      <c r="F49" s="757" t="s">
        <v>30</v>
      </c>
      <c r="G49" s="757" t="s">
        <v>38</v>
      </c>
      <c r="I49" t="s">
        <v>207</v>
      </c>
      <c r="J49">
        <v>12</v>
      </c>
      <c r="K49">
        <v>12</v>
      </c>
      <c r="M49">
        <v>1</v>
      </c>
      <c r="N49">
        <f t="shared" si="0"/>
        <v>840</v>
      </c>
      <c r="P49">
        <v>78</v>
      </c>
      <c r="Q49">
        <v>78</v>
      </c>
      <c r="S49" s="43">
        <f t="shared" si="1"/>
        <v>156000</v>
      </c>
      <c r="T49" s="43">
        <v>147264</v>
      </c>
    </row>
    <row r="50" spans="5:20">
      <c r="E50" s="482">
        <v>46191</v>
      </c>
      <c r="F50" s="757" t="s">
        <v>30</v>
      </c>
      <c r="G50" s="757" t="s">
        <v>39</v>
      </c>
      <c r="I50" t="s">
        <v>207</v>
      </c>
      <c r="J50">
        <v>12</v>
      </c>
      <c r="K50">
        <v>12</v>
      </c>
      <c r="M50">
        <v>1</v>
      </c>
      <c r="N50">
        <f t="shared" si="0"/>
        <v>840</v>
      </c>
      <c r="P50">
        <v>47</v>
      </c>
      <c r="Q50">
        <v>47</v>
      </c>
      <c r="S50" s="43">
        <f t="shared" si="1"/>
        <v>94000</v>
      </c>
      <c r="T50" s="43">
        <v>88736</v>
      </c>
    </row>
    <row r="51" spans="5:20">
      <c r="E51" s="482">
        <v>46191</v>
      </c>
      <c r="F51" s="757" t="s">
        <v>41</v>
      </c>
      <c r="G51" s="757" t="s">
        <v>153</v>
      </c>
      <c r="I51" t="s">
        <v>207</v>
      </c>
      <c r="J51">
        <v>12</v>
      </c>
      <c r="K51">
        <v>12</v>
      </c>
      <c r="M51">
        <v>1</v>
      </c>
      <c r="N51">
        <f t="shared" si="0"/>
        <v>840</v>
      </c>
      <c r="P51">
        <v>87</v>
      </c>
      <c r="Q51">
        <v>87</v>
      </c>
      <c r="S51" s="43">
        <f t="shared" si="1"/>
        <v>174000</v>
      </c>
      <c r="T51" s="43">
        <v>164256</v>
      </c>
    </row>
    <row r="52" spans="5:20">
      <c r="E52" s="482">
        <v>46191</v>
      </c>
      <c r="F52" s="757" t="s">
        <v>41</v>
      </c>
      <c r="G52" s="757" t="s">
        <v>47</v>
      </c>
      <c r="I52" t="s">
        <v>207</v>
      </c>
      <c r="J52">
        <v>12</v>
      </c>
      <c r="K52">
        <v>12</v>
      </c>
      <c r="M52">
        <v>1</v>
      </c>
      <c r="N52">
        <f t="shared" si="0"/>
        <v>840</v>
      </c>
      <c r="P52">
        <v>75</v>
      </c>
      <c r="Q52">
        <v>75</v>
      </c>
      <c r="S52" s="43">
        <f t="shared" si="1"/>
        <v>150000</v>
      </c>
      <c r="T52" s="43">
        <v>141600</v>
      </c>
    </row>
    <row r="53" spans="5:20">
      <c r="E53" s="482">
        <v>46191</v>
      </c>
      <c r="F53" s="757" t="s">
        <v>41</v>
      </c>
      <c r="G53" s="757" t="s">
        <v>211</v>
      </c>
      <c r="I53" t="s">
        <v>207</v>
      </c>
      <c r="J53">
        <v>12</v>
      </c>
      <c r="K53">
        <v>12</v>
      </c>
      <c r="M53">
        <v>1</v>
      </c>
      <c r="N53">
        <f t="shared" si="0"/>
        <v>840</v>
      </c>
      <c r="P53">
        <v>72</v>
      </c>
      <c r="Q53">
        <v>72</v>
      </c>
      <c r="S53" s="43">
        <f t="shared" si="1"/>
        <v>144000</v>
      </c>
      <c r="T53" s="43">
        <v>135936</v>
      </c>
    </row>
    <row r="54" spans="5:20">
      <c r="E54" s="482">
        <v>46191</v>
      </c>
      <c r="F54" s="757" t="s">
        <v>41</v>
      </c>
      <c r="G54" s="757" t="s">
        <v>50</v>
      </c>
      <c r="I54" t="s">
        <v>207</v>
      </c>
      <c r="J54">
        <v>12</v>
      </c>
      <c r="K54">
        <v>12</v>
      </c>
      <c r="M54">
        <v>1</v>
      </c>
      <c r="N54">
        <f t="shared" si="0"/>
        <v>840</v>
      </c>
      <c r="P54">
        <v>66</v>
      </c>
      <c r="Q54">
        <v>66</v>
      </c>
      <c r="S54" s="43">
        <f t="shared" si="1"/>
        <v>132000</v>
      </c>
      <c r="T54" s="43">
        <v>124608</v>
      </c>
    </row>
    <row r="55" spans="5:20">
      <c r="E55" s="482">
        <v>46191</v>
      </c>
      <c r="F55" s="757" t="s">
        <v>61</v>
      </c>
      <c r="G55" s="757" t="s">
        <v>193</v>
      </c>
      <c r="I55" t="s">
        <v>207</v>
      </c>
      <c r="J55">
        <v>12</v>
      </c>
      <c r="K55">
        <v>12</v>
      </c>
      <c r="M55">
        <v>1</v>
      </c>
      <c r="N55">
        <f t="shared" si="0"/>
        <v>840</v>
      </c>
      <c r="P55">
        <v>70</v>
      </c>
      <c r="Q55">
        <v>70</v>
      </c>
      <c r="S55" s="43">
        <f t="shared" si="1"/>
        <v>140000</v>
      </c>
      <c r="T55" s="43">
        <v>132160</v>
      </c>
    </row>
    <row r="56" spans="5:20">
      <c r="E56" s="482">
        <v>46191</v>
      </c>
      <c r="F56" s="757" t="s">
        <v>61</v>
      </c>
      <c r="G56" s="757" t="s">
        <v>262</v>
      </c>
      <c r="I56" t="s">
        <v>207</v>
      </c>
      <c r="J56">
        <v>12</v>
      </c>
      <c r="K56">
        <v>12</v>
      </c>
      <c r="M56">
        <v>1</v>
      </c>
      <c r="N56">
        <f t="shared" si="0"/>
        <v>840</v>
      </c>
      <c r="P56">
        <v>44</v>
      </c>
      <c r="Q56">
        <v>44</v>
      </c>
      <c r="S56" s="43">
        <f t="shared" si="1"/>
        <v>88000</v>
      </c>
      <c r="T56" s="43">
        <v>83072</v>
      </c>
    </row>
    <row r="57" spans="5:20">
      <c r="E57" s="482">
        <v>46191</v>
      </c>
      <c r="F57" s="757" t="s">
        <v>61</v>
      </c>
      <c r="G57" s="757" t="s">
        <v>263</v>
      </c>
      <c r="I57" t="s">
        <v>207</v>
      </c>
      <c r="J57">
        <v>12</v>
      </c>
      <c r="K57">
        <v>12</v>
      </c>
      <c r="M57">
        <v>1</v>
      </c>
      <c r="N57">
        <f t="shared" si="0"/>
        <v>840</v>
      </c>
      <c r="P57">
        <v>70</v>
      </c>
      <c r="Q57">
        <v>70</v>
      </c>
      <c r="S57" s="43">
        <f t="shared" si="1"/>
        <v>140000</v>
      </c>
      <c r="T57" s="43">
        <v>132160</v>
      </c>
    </row>
    <row r="58" spans="5:20">
      <c r="E58" s="482">
        <v>46191</v>
      </c>
      <c r="F58" s="757" t="s">
        <v>61</v>
      </c>
      <c r="G58" s="757" t="s">
        <v>69</v>
      </c>
      <c r="I58" t="s">
        <v>207</v>
      </c>
      <c r="J58">
        <v>12</v>
      </c>
      <c r="K58">
        <v>12</v>
      </c>
      <c r="M58">
        <v>1</v>
      </c>
      <c r="N58">
        <f t="shared" si="0"/>
        <v>840</v>
      </c>
      <c r="P58">
        <v>90</v>
      </c>
      <c r="Q58">
        <v>90</v>
      </c>
      <c r="S58" s="43">
        <f t="shared" si="1"/>
        <v>180000</v>
      </c>
      <c r="T58" s="43">
        <v>169920</v>
      </c>
    </row>
    <row r="59" spans="5:20">
      <c r="E59" s="482">
        <v>46191</v>
      </c>
      <c r="F59" s="757" t="s">
        <v>61</v>
      </c>
      <c r="G59" s="757" t="s">
        <v>274</v>
      </c>
      <c r="I59" t="s">
        <v>207</v>
      </c>
      <c r="J59">
        <v>12</v>
      </c>
      <c r="K59">
        <v>12</v>
      </c>
      <c r="M59">
        <v>1</v>
      </c>
      <c r="N59">
        <f t="shared" si="0"/>
        <v>840</v>
      </c>
      <c r="P59">
        <v>144</v>
      </c>
      <c r="Q59">
        <v>144</v>
      </c>
      <c r="S59" s="43">
        <f t="shared" si="1"/>
        <v>288000</v>
      </c>
      <c r="T59" s="43">
        <v>271872</v>
      </c>
    </row>
    <row r="60" spans="5:20">
      <c r="E60" s="482">
        <v>46253</v>
      </c>
      <c r="F60" s="758" t="s">
        <v>277</v>
      </c>
      <c r="G60" s="758" t="s">
        <v>274</v>
      </c>
      <c r="I60" t="s">
        <v>207</v>
      </c>
      <c r="J60">
        <v>12</v>
      </c>
      <c r="K60">
        <v>12</v>
      </c>
      <c r="M60">
        <v>1</v>
      </c>
      <c r="N60">
        <f t="shared" si="0"/>
        <v>840</v>
      </c>
      <c r="P60">
        <v>78</v>
      </c>
      <c r="Q60">
        <v>78</v>
      </c>
      <c r="S60" s="43">
        <f t="shared" si="1"/>
        <v>156000</v>
      </c>
      <c r="T60" s="43">
        <v>147264</v>
      </c>
    </row>
    <row r="61" spans="5:20">
      <c r="E61" s="482">
        <v>46253</v>
      </c>
      <c r="F61" s="758" t="s">
        <v>41</v>
      </c>
      <c r="G61" s="758" t="s">
        <v>47</v>
      </c>
      <c r="I61" t="s">
        <v>207</v>
      </c>
      <c r="J61">
        <v>12</v>
      </c>
      <c r="K61">
        <v>12</v>
      </c>
      <c r="M61">
        <v>1</v>
      </c>
      <c r="N61">
        <f t="shared" si="0"/>
        <v>840</v>
      </c>
      <c r="P61">
        <v>252</v>
      </c>
      <c r="Q61">
        <v>252</v>
      </c>
      <c r="S61" s="43">
        <f t="shared" si="1"/>
        <v>504000</v>
      </c>
      <c r="T61" s="43">
        <v>475776</v>
      </c>
    </row>
    <row r="62" spans="5:20">
      <c r="E62" s="482">
        <v>46253</v>
      </c>
      <c r="F62" s="758" t="s">
        <v>61</v>
      </c>
      <c r="G62" s="758" t="s">
        <v>262</v>
      </c>
      <c r="I62" t="s">
        <v>207</v>
      </c>
      <c r="J62">
        <v>12</v>
      </c>
      <c r="K62">
        <v>12</v>
      </c>
      <c r="M62">
        <v>1</v>
      </c>
      <c r="N62">
        <f t="shared" si="0"/>
        <v>840</v>
      </c>
      <c r="P62">
        <v>22</v>
      </c>
      <c r="Q62">
        <v>22</v>
      </c>
      <c r="S62" s="43">
        <f t="shared" si="1"/>
        <v>44000</v>
      </c>
      <c r="T62" s="43">
        <v>41536</v>
      </c>
    </row>
    <row r="63" spans="5:20">
      <c r="E63" s="482">
        <v>46253</v>
      </c>
      <c r="F63" s="758" t="s">
        <v>30</v>
      </c>
      <c r="G63" s="758" t="s">
        <v>38</v>
      </c>
      <c r="I63" t="s">
        <v>207</v>
      </c>
      <c r="J63">
        <v>12</v>
      </c>
      <c r="K63">
        <v>12</v>
      </c>
      <c r="M63">
        <v>1</v>
      </c>
      <c r="N63">
        <f t="shared" si="0"/>
        <v>840</v>
      </c>
      <c r="P63">
        <v>66</v>
      </c>
      <c r="Q63">
        <v>66</v>
      </c>
      <c r="S63" s="43">
        <f t="shared" si="1"/>
        <v>132000</v>
      </c>
      <c r="T63" s="43">
        <v>124608</v>
      </c>
    </row>
    <row r="64" spans="5:20">
      <c r="E64" s="482">
        <v>46253</v>
      </c>
      <c r="F64" s="758" t="s">
        <v>30</v>
      </c>
      <c r="G64" s="758" t="s">
        <v>39</v>
      </c>
      <c r="I64" t="s">
        <v>207</v>
      </c>
      <c r="J64">
        <v>12</v>
      </c>
      <c r="K64">
        <v>12</v>
      </c>
      <c r="M64">
        <v>1</v>
      </c>
      <c r="N64">
        <f t="shared" si="0"/>
        <v>840</v>
      </c>
      <c r="P64">
        <v>64</v>
      </c>
      <c r="Q64">
        <v>64</v>
      </c>
      <c r="S64" s="43">
        <f t="shared" si="1"/>
        <v>128000</v>
      </c>
      <c r="T64" s="43">
        <v>120832</v>
      </c>
    </row>
    <row r="65" spans="5:20">
      <c r="E65" s="482">
        <v>46253</v>
      </c>
      <c r="F65" s="758" t="s">
        <v>30</v>
      </c>
      <c r="G65" s="758" t="s">
        <v>36</v>
      </c>
      <c r="I65" t="s">
        <v>207</v>
      </c>
      <c r="J65">
        <v>12</v>
      </c>
      <c r="K65">
        <v>12</v>
      </c>
      <c r="M65">
        <v>1</v>
      </c>
      <c r="N65">
        <f t="shared" si="0"/>
        <v>840</v>
      </c>
      <c r="P65">
        <v>127</v>
      </c>
      <c r="Q65">
        <v>127</v>
      </c>
      <c r="S65" s="43">
        <f t="shared" si="1"/>
        <v>254000</v>
      </c>
      <c r="T65" s="43">
        <v>238832</v>
      </c>
    </row>
    <row r="66" spans="5:20">
      <c r="E66" s="482">
        <v>46253</v>
      </c>
      <c r="F66" s="758" t="s">
        <v>61</v>
      </c>
      <c r="G66" s="758" t="s">
        <v>69</v>
      </c>
      <c r="I66" t="s">
        <v>207</v>
      </c>
      <c r="J66">
        <v>12</v>
      </c>
      <c r="K66">
        <v>12</v>
      </c>
      <c r="M66">
        <v>1</v>
      </c>
      <c r="N66">
        <f t="shared" si="0"/>
        <v>840</v>
      </c>
      <c r="P66">
        <v>60</v>
      </c>
      <c r="Q66">
        <v>60</v>
      </c>
      <c r="S66" s="43">
        <f t="shared" si="1"/>
        <v>120000</v>
      </c>
      <c r="T66" s="43">
        <v>113280</v>
      </c>
    </row>
    <row r="67" spans="5:20">
      <c r="E67" s="482">
        <v>46253</v>
      </c>
      <c r="F67" s="758" t="s">
        <v>41</v>
      </c>
      <c r="G67" s="758" t="s">
        <v>153</v>
      </c>
      <c r="I67" t="s">
        <v>207</v>
      </c>
      <c r="J67">
        <v>12</v>
      </c>
      <c r="K67">
        <v>12</v>
      </c>
      <c r="M67">
        <v>1</v>
      </c>
      <c r="N67">
        <f t="shared" si="0"/>
        <v>840</v>
      </c>
      <c r="P67">
        <v>120</v>
      </c>
      <c r="Q67">
        <v>120</v>
      </c>
      <c r="S67" s="43">
        <f t="shared" si="1"/>
        <v>240000</v>
      </c>
      <c r="T67" s="43">
        <v>226560</v>
      </c>
    </row>
    <row r="68" spans="5:20">
      <c r="E68" s="482">
        <v>46253</v>
      </c>
      <c r="F68" s="758" t="s">
        <v>41</v>
      </c>
      <c r="G68" s="758" t="s">
        <v>211</v>
      </c>
      <c r="I68" t="s">
        <v>207</v>
      </c>
      <c r="J68">
        <v>12</v>
      </c>
      <c r="K68">
        <v>12</v>
      </c>
      <c r="M68">
        <v>1</v>
      </c>
      <c r="N68">
        <f t="shared" si="0"/>
        <v>840</v>
      </c>
      <c r="P68">
        <v>42</v>
      </c>
      <c r="Q68">
        <v>42</v>
      </c>
      <c r="S68" s="43">
        <f t="shared" si="1"/>
        <v>84000</v>
      </c>
      <c r="T68" s="43">
        <v>79296</v>
      </c>
    </row>
    <row r="69" spans="5:20">
      <c r="E69" s="482">
        <v>46253</v>
      </c>
      <c r="F69" s="758" t="s">
        <v>41</v>
      </c>
      <c r="G69" s="758" t="s">
        <v>50</v>
      </c>
      <c r="I69" t="s">
        <v>207</v>
      </c>
      <c r="J69">
        <v>12</v>
      </c>
      <c r="K69">
        <v>12</v>
      </c>
      <c r="M69">
        <v>1</v>
      </c>
      <c r="N69">
        <f t="shared" ref="N69:N132" si="2">70*12</f>
        <v>840</v>
      </c>
      <c r="P69">
        <v>69</v>
      </c>
      <c r="Q69">
        <v>69</v>
      </c>
      <c r="S69" s="43">
        <f t="shared" si="1"/>
        <v>138000</v>
      </c>
      <c r="T69" s="43">
        <v>130272</v>
      </c>
    </row>
    <row r="70" spans="5:20">
      <c r="E70" s="482">
        <v>46254</v>
      </c>
      <c r="F70" s="775" t="s">
        <v>30</v>
      </c>
      <c r="G70" t="s">
        <v>276</v>
      </c>
      <c r="I70" t="s">
        <v>207</v>
      </c>
      <c r="J70">
        <v>12</v>
      </c>
      <c r="K70">
        <v>12</v>
      </c>
      <c r="M70">
        <v>1</v>
      </c>
      <c r="N70">
        <f t="shared" si="0"/>
        <v>840</v>
      </c>
      <c r="P70">
        <v>66</v>
      </c>
      <c r="Q70">
        <v>66</v>
      </c>
      <c r="S70" s="43">
        <f t="shared" si="1"/>
        <v>132000</v>
      </c>
      <c r="T70" s="43">
        <v>124608</v>
      </c>
    </row>
    <row r="71" spans="5:20">
      <c r="E71" s="482">
        <v>46193</v>
      </c>
      <c r="F71" s="775" t="s">
        <v>30</v>
      </c>
      <c r="G71" s="775" t="s">
        <v>36</v>
      </c>
      <c r="I71" t="s">
        <v>207</v>
      </c>
      <c r="J71">
        <v>12</v>
      </c>
      <c r="K71">
        <v>12</v>
      </c>
      <c r="M71">
        <v>1</v>
      </c>
      <c r="N71">
        <f t="shared" si="2"/>
        <v>840</v>
      </c>
      <c r="P71">
        <v>204</v>
      </c>
      <c r="Q71">
        <v>204</v>
      </c>
      <c r="S71" s="43">
        <f t="shared" si="1"/>
        <v>408000</v>
      </c>
      <c r="T71" s="43">
        <v>385152</v>
      </c>
    </row>
    <row r="72" spans="5:20">
      <c r="E72" s="482">
        <v>46132</v>
      </c>
      <c r="F72" s="775" t="s">
        <v>30</v>
      </c>
      <c r="G72" s="775" t="s">
        <v>38</v>
      </c>
      <c r="I72" t="s">
        <v>207</v>
      </c>
      <c r="J72">
        <v>12</v>
      </c>
      <c r="K72">
        <v>12</v>
      </c>
      <c r="M72">
        <v>1</v>
      </c>
      <c r="N72">
        <f t="shared" si="2"/>
        <v>840</v>
      </c>
      <c r="P72">
        <v>64</v>
      </c>
      <c r="Q72">
        <v>64</v>
      </c>
      <c r="S72" s="43">
        <f t="shared" si="1"/>
        <v>128000</v>
      </c>
      <c r="T72" s="43">
        <v>120832</v>
      </c>
    </row>
    <row r="73" spans="5:20">
      <c r="E73" s="482">
        <v>46073</v>
      </c>
      <c r="F73" s="775" t="s">
        <v>30</v>
      </c>
      <c r="G73" s="775" t="s">
        <v>39</v>
      </c>
      <c r="I73" t="s">
        <v>207</v>
      </c>
      <c r="J73">
        <v>12</v>
      </c>
      <c r="K73">
        <v>12</v>
      </c>
      <c r="M73">
        <v>1</v>
      </c>
      <c r="N73">
        <f t="shared" si="2"/>
        <v>840</v>
      </c>
      <c r="P73">
        <v>64</v>
      </c>
      <c r="Q73">
        <v>64</v>
      </c>
      <c r="S73" s="43">
        <f t="shared" si="1"/>
        <v>128000</v>
      </c>
      <c r="T73" s="43">
        <v>120832</v>
      </c>
    </row>
    <row r="74" spans="5:20">
      <c r="E74" s="482">
        <v>46011</v>
      </c>
      <c r="F74" s="775" t="s">
        <v>41</v>
      </c>
      <c r="G74" s="775" t="s">
        <v>153</v>
      </c>
      <c r="I74" t="s">
        <v>207</v>
      </c>
      <c r="J74">
        <v>12</v>
      </c>
      <c r="K74">
        <v>12</v>
      </c>
      <c r="M74">
        <v>1</v>
      </c>
      <c r="N74">
        <f t="shared" si="2"/>
        <v>840</v>
      </c>
      <c r="P74">
        <v>120</v>
      </c>
      <c r="Q74">
        <v>120</v>
      </c>
      <c r="S74" s="43">
        <f t="shared" si="1"/>
        <v>240000</v>
      </c>
      <c r="T74" s="43">
        <v>226560</v>
      </c>
    </row>
    <row r="75" spans="5:20">
      <c r="E75" s="482">
        <v>45950</v>
      </c>
      <c r="F75" s="775" t="s">
        <v>41</v>
      </c>
      <c r="G75" s="775" t="s">
        <v>47</v>
      </c>
      <c r="I75" t="s">
        <v>207</v>
      </c>
      <c r="J75">
        <v>12</v>
      </c>
      <c r="K75">
        <v>12</v>
      </c>
      <c r="M75">
        <v>1</v>
      </c>
      <c r="N75">
        <f t="shared" si="2"/>
        <v>840</v>
      </c>
      <c r="P75">
        <v>252</v>
      </c>
      <c r="Q75">
        <v>252</v>
      </c>
      <c r="S75" s="43">
        <f t="shared" si="1"/>
        <v>504000</v>
      </c>
      <c r="T75" s="43">
        <v>475776</v>
      </c>
    </row>
    <row r="76" spans="5:20">
      <c r="E76" s="482">
        <v>45889</v>
      </c>
      <c r="F76" s="775" t="s">
        <v>61</v>
      </c>
      <c r="G76" s="775" t="s">
        <v>262</v>
      </c>
      <c r="I76" t="s">
        <v>207</v>
      </c>
      <c r="J76">
        <v>12</v>
      </c>
      <c r="K76">
        <v>12</v>
      </c>
      <c r="M76">
        <v>1</v>
      </c>
      <c r="N76">
        <f t="shared" si="2"/>
        <v>840</v>
      </c>
      <c r="P76">
        <v>31</v>
      </c>
      <c r="Q76">
        <v>31</v>
      </c>
      <c r="S76" s="43">
        <f t="shared" si="1"/>
        <v>62000</v>
      </c>
      <c r="T76" s="43">
        <v>57879</v>
      </c>
    </row>
    <row r="77" spans="5:20">
      <c r="E77" s="482">
        <v>45828</v>
      </c>
      <c r="F77" s="775" t="s">
        <v>61</v>
      </c>
      <c r="G77" s="775" t="s">
        <v>69</v>
      </c>
      <c r="I77" t="s">
        <v>207</v>
      </c>
      <c r="J77">
        <v>12</v>
      </c>
      <c r="K77">
        <v>12</v>
      </c>
      <c r="M77">
        <v>1</v>
      </c>
      <c r="N77">
        <f t="shared" si="2"/>
        <v>840</v>
      </c>
      <c r="P77">
        <v>72</v>
      </c>
      <c r="Q77">
        <v>72</v>
      </c>
      <c r="S77" s="43">
        <f t="shared" si="1"/>
        <v>144000</v>
      </c>
      <c r="T77" s="43">
        <v>135936</v>
      </c>
    </row>
    <row r="78" spans="5:20">
      <c r="E78" s="482">
        <v>45828</v>
      </c>
      <c r="F78" s="777" t="s">
        <v>41</v>
      </c>
      <c r="G78" s="777" t="s">
        <v>50</v>
      </c>
      <c r="I78" t="s">
        <v>207</v>
      </c>
      <c r="J78">
        <v>12</v>
      </c>
      <c r="K78">
        <v>12</v>
      </c>
      <c r="M78">
        <v>1</v>
      </c>
      <c r="N78">
        <v>840</v>
      </c>
      <c r="P78">
        <v>167</v>
      </c>
      <c r="Q78">
        <v>167</v>
      </c>
      <c r="S78" s="43">
        <f t="shared" si="1"/>
        <v>334000</v>
      </c>
      <c r="T78" s="43">
        <v>315296</v>
      </c>
    </row>
    <row r="79" spans="5:20">
      <c r="E79" s="482">
        <v>45767</v>
      </c>
      <c r="F79" s="775" t="s">
        <v>61</v>
      </c>
      <c r="G79" s="775" t="s">
        <v>274</v>
      </c>
      <c r="I79" t="s">
        <v>207</v>
      </c>
      <c r="J79">
        <v>12</v>
      </c>
      <c r="K79">
        <v>12</v>
      </c>
      <c r="M79">
        <v>1</v>
      </c>
      <c r="N79">
        <f t="shared" si="2"/>
        <v>840</v>
      </c>
      <c r="P79">
        <v>72</v>
      </c>
      <c r="Q79">
        <v>72</v>
      </c>
      <c r="S79" s="43">
        <f t="shared" si="1"/>
        <v>144000</v>
      </c>
      <c r="T79" s="43">
        <v>135936</v>
      </c>
    </row>
    <row r="80" spans="5:20">
      <c r="E80" s="482">
        <v>46133</v>
      </c>
      <c r="F80" t="str">
        <f>_xlfn.XLOOKUP(G80,'Total (2)'!G:G,'Total (2)'!F:F)</f>
        <v>East 1</v>
      </c>
      <c r="G80" t="s">
        <v>276</v>
      </c>
      <c r="I80" t="s">
        <v>207</v>
      </c>
      <c r="J80">
        <v>12</v>
      </c>
      <c r="K80">
        <v>12</v>
      </c>
      <c r="M80">
        <v>1</v>
      </c>
      <c r="N80">
        <f t="shared" si="2"/>
        <v>840</v>
      </c>
      <c r="P80">
        <v>62</v>
      </c>
      <c r="Q80">
        <v>62</v>
      </c>
      <c r="S80" s="43">
        <f t="shared" si="1"/>
        <v>124000</v>
      </c>
      <c r="T80" s="43">
        <v>117641.28</v>
      </c>
    </row>
    <row r="81" spans="5:20">
      <c r="E81" s="482">
        <v>46133</v>
      </c>
      <c r="F81" t="str">
        <f>_xlfn.XLOOKUP(G81,'Total (2)'!G:G,'Total (2)'!F:F)</f>
        <v>East 1</v>
      </c>
      <c r="G81" s="775" t="s">
        <v>36</v>
      </c>
      <c r="I81" t="s">
        <v>207</v>
      </c>
      <c r="J81">
        <v>12</v>
      </c>
      <c r="K81">
        <v>12</v>
      </c>
      <c r="M81">
        <v>1</v>
      </c>
      <c r="N81">
        <f t="shared" si="2"/>
        <v>840</v>
      </c>
      <c r="P81">
        <v>60</v>
      </c>
      <c r="Q81">
        <v>60</v>
      </c>
      <c r="S81" s="43">
        <f t="shared" ref="S81:S152" si="3">Q81*2000</f>
        <v>120000</v>
      </c>
      <c r="T81" s="43">
        <v>113280</v>
      </c>
    </row>
    <row r="82" spans="5:20">
      <c r="E82" s="482">
        <v>46133</v>
      </c>
      <c r="F82" t="str">
        <f>_xlfn.XLOOKUP(G82,'Total (2)'!G:G,'Total (2)'!F:F)</f>
        <v>East 1</v>
      </c>
      <c r="G82" s="775" t="s">
        <v>38</v>
      </c>
      <c r="I82" t="s">
        <v>207</v>
      </c>
      <c r="J82">
        <v>12</v>
      </c>
      <c r="K82">
        <v>12</v>
      </c>
      <c r="M82">
        <v>1</v>
      </c>
      <c r="N82">
        <f t="shared" si="2"/>
        <v>840</v>
      </c>
      <c r="P82">
        <v>72</v>
      </c>
      <c r="Q82">
        <v>72</v>
      </c>
      <c r="S82" s="43">
        <f t="shared" si="3"/>
        <v>144000</v>
      </c>
      <c r="T82" s="43">
        <v>135936</v>
      </c>
    </row>
    <row r="83" spans="5:20">
      <c r="E83" s="482">
        <v>46133</v>
      </c>
      <c r="F83" t="str">
        <f>_xlfn.XLOOKUP(G83,'Total (2)'!G:G,'Total (2)'!F:F)</f>
        <v>East 1</v>
      </c>
      <c r="G83" s="775" t="s">
        <v>39</v>
      </c>
      <c r="I83" t="s">
        <v>207</v>
      </c>
      <c r="J83">
        <v>12</v>
      </c>
      <c r="K83">
        <v>12</v>
      </c>
      <c r="M83">
        <v>1</v>
      </c>
      <c r="N83">
        <f t="shared" si="2"/>
        <v>840</v>
      </c>
      <c r="P83">
        <v>48</v>
      </c>
      <c r="Q83">
        <v>48</v>
      </c>
      <c r="S83" s="43">
        <f t="shared" si="3"/>
        <v>96000</v>
      </c>
      <c r="T83" s="43">
        <v>90624</v>
      </c>
    </row>
    <row r="84" spans="5:20">
      <c r="E84" s="482">
        <v>46133</v>
      </c>
      <c r="F84" t="str">
        <f>_xlfn.XLOOKUP(G84,'Total (2)'!G:G,'Total (2)'!F:F)</f>
        <v>East 2</v>
      </c>
      <c r="G84" s="776" t="s">
        <v>153</v>
      </c>
      <c r="I84" t="s">
        <v>207</v>
      </c>
      <c r="J84">
        <v>12</v>
      </c>
      <c r="K84">
        <v>12</v>
      </c>
      <c r="M84">
        <v>1</v>
      </c>
      <c r="N84">
        <f t="shared" si="2"/>
        <v>840</v>
      </c>
      <c r="P84">
        <v>120</v>
      </c>
      <c r="Q84">
        <v>120</v>
      </c>
      <c r="S84" s="43">
        <f t="shared" si="3"/>
        <v>240000</v>
      </c>
      <c r="T84" s="43">
        <v>226560</v>
      </c>
    </row>
    <row r="85" spans="5:20">
      <c r="E85" s="482">
        <v>46133</v>
      </c>
      <c r="F85" t="str">
        <f>_xlfn.XLOOKUP(G85,'Total (2)'!G:G,'Total (2)'!F:F)</f>
        <v>East 1</v>
      </c>
      <c r="G85" s="776" t="s">
        <v>211</v>
      </c>
      <c r="I85" t="s">
        <v>207</v>
      </c>
      <c r="J85">
        <v>12</v>
      </c>
      <c r="K85">
        <v>12</v>
      </c>
      <c r="M85">
        <v>1</v>
      </c>
      <c r="N85">
        <f t="shared" si="2"/>
        <v>840</v>
      </c>
      <c r="P85">
        <v>204</v>
      </c>
      <c r="Q85">
        <v>204</v>
      </c>
      <c r="S85" s="43">
        <f t="shared" si="3"/>
        <v>408000</v>
      </c>
      <c r="T85" s="43">
        <v>385152</v>
      </c>
    </row>
    <row r="86" spans="5:20">
      <c r="E86" s="482">
        <v>46133</v>
      </c>
      <c r="F86" t="str">
        <f>_xlfn.XLOOKUP(G86,'Total (2)'!G:G,'Total (2)'!F:F)</f>
        <v>East 1</v>
      </c>
      <c r="G86" s="776" t="s">
        <v>50</v>
      </c>
      <c r="I86" t="s">
        <v>207</v>
      </c>
      <c r="J86">
        <v>12</v>
      </c>
      <c r="K86">
        <v>12</v>
      </c>
      <c r="M86">
        <v>1</v>
      </c>
      <c r="N86">
        <f t="shared" si="2"/>
        <v>840</v>
      </c>
      <c r="P86">
        <v>180</v>
      </c>
      <c r="Q86">
        <v>180</v>
      </c>
      <c r="S86" s="43">
        <f t="shared" si="3"/>
        <v>360000</v>
      </c>
      <c r="T86" s="43">
        <v>339840</v>
      </c>
    </row>
    <row r="87" spans="5:20">
      <c r="E87" s="482">
        <v>46133</v>
      </c>
      <c r="F87" t="str">
        <f>_xlfn.XLOOKUP(G87,'Total (2)'!G:G,'Total (2)'!F:F)</f>
        <v>West 2</v>
      </c>
      <c r="G87" s="776" t="s">
        <v>69</v>
      </c>
      <c r="I87" t="s">
        <v>207</v>
      </c>
      <c r="J87">
        <v>12</v>
      </c>
      <c r="K87">
        <v>12</v>
      </c>
      <c r="M87">
        <v>1</v>
      </c>
      <c r="N87">
        <f t="shared" si="2"/>
        <v>840</v>
      </c>
      <c r="P87">
        <v>120</v>
      </c>
      <c r="Q87">
        <v>120</v>
      </c>
      <c r="S87" s="43">
        <f t="shared" si="3"/>
        <v>240000</v>
      </c>
      <c r="T87" s="43">
        <v>226560</v>
      </c>
    </row>
    <row r="88" spans="5:20">
      <c r="E88" s="482">
        <v>46133</v>
      </c>
      <c r="F88" t="str">
        <f>_xlfn.XLOOKUP(G88,'Total (2)'!G:G,'Total (2)'!F:F)</f>
        <v>West 2</v>
      </c>
      <c r="G88" s="776" t="s">
        <v>274</v>
      </c>
      <c r="I88" t="s">
        <v>207</v>
      </c>
      <c r="J88">
        <v>12</v>
      </c>
      <c r="K88">
        <v>12</v>
      </c>
      <c r="M88">
        <v>1</v>
      </c>
      <c r="N88">
        <f t="shared" si="2"/>
        <v>840</v>
      </c>
      <c r="P88">
        <v>66</v>
      </c>
      <c r="Q88">
        <v>66</v>
      </c>
      <c r="S88" s="43">
        <f t="shared" si="3"/>
        <v>132000</v>
      </c>
      <c r="T88" s="43">
        <v>124608</v>
      </c>
    </row>
    <row r="89" spans="5:20">
      <c r="E89" s="482">
        <v>46134</v>
      </c>
      <c r="F89" t="str">
        <f>_xlfn.XLOOKUP(G89,'Total (2)'!G:G,'Total (2)'!F:F)</f>
        <v>East 1</v>
      </c>
      <c r="G89" t="s">
        <v>276</v>
      </c>
      <c r="I89" t="s">
        <v>207</v>
      </c>
      <c r="J89">
        <v>12</v>
      </c>
      <c r="K89">
        <v>12</v>
      </c>
      <c r="M89">
        <v>1</v>
      </c>
      <c r="N89">
        <f t="shared" si="2"/>
        <v>840</v>
      </c>
      <c r="P89">
        <v>60</v>
      </c>
      <c r="Q89">
        <v>60</v>
      </c>
      <c r="S89" s="43">
        <f t="shared" si="3"/>
        <v>120000</v>
      </c>
      <c r="T89" s="43">
        <v>113280</v>
      </c>
    </row>
    <row r="90" spans="5:20">
      <c r="E90" s="482">
        <v>46134</v>
      </c>
      <c r="F90" t="str">
        <f>_xlfn.XLOOKUP(G90,'Total (2)'!G:G,'Total (2)'!F:F)</f>
        <v>East 1</v>
      </c>
      <c r="G90" t="s">
        <v>36</v>
      </c>
      <c r="I90" t="s">
        <v>207</v>
      </c>
      <c r="J90">
        <v>12</v>
      </c>
      <c r="K90">
        <v>12</v>
      </c>
      <c r="M90">
        <v>1</v>
      </c>
      <c r="N90">
        <f t="shared" si="2"/>
        <v>840</v>
      </c>
      <c r="P90">
        <v>30</v>
      </c>
      <c r="Q90">
        <v>30</v>
      </c>
      <c r="S90" s="43">
        <f t="shared" si="3"/>
        <v>60000</v>
      </c>
      <c r="T90" s="43">
        <v>56640</v>
      </c>
    </row>
    <row r="91" spans="5:20">
      <c r="E91" s="482">
        <v>46134</v>
      </c>
      <c r="F91" t="str">
        <f>_xlfn.XLOOKUP(G91,'Total (2)'!G:G,'Total (2)'!F:F)</f>
        <v>East 1</v>
      </c>
      <c r="G91" t="s">
        <v>38</v>
      </c>
      <c r="I91" t="s">
        <v>207</v>
      </c>
      <c r="J91">
        <v>12</v>
      </c>
      <c r="K91">
        <v>12</v>
      </c>
      <c r="M91">
        <v>1</v>
      </c>
      <c r="N91">
        <f t="shared" si="2"/>
        <v>840</v>
      </c>
      <c r="P91">
        <v>60</v>
      </c>
      <c r="Q91">
        <v>60</v>
      </c>
      <c r="S91" s="43">
        <f t="shared" si="3"/>
        <v>120000</v>
      </c>
      <c r="T91" s="43">
        <v>113280</v>
      </c>
    </row>
    <row r="92" spans="5:20">
      <c r="E92" s="482">
        <v>46134</v>
      </c>
      <c r="F92" t="str">
        <f>_xlfn.XLOOKUP(G92,'Total (2)'!G:G,'Total (2)'!F:F)</f>
        <v>East 1</v>
      </c>
      <c r="G92" t="s">
        <v>39</v>
      </c>
      <c r="I92" t="s">
        <v>207</v>
      </c>
      <c r="J92">
        <v>12</v>
      </c>
      <c r="K92">
        <v>12</v>
      </c>
      <c r="M92">
        <v>1</v>
      </c>
      <c r="N92">
        <f t="shared" si="2"/>
        <v>840</v>
      </c>
      <c r="P92">
        <v>30</v>
      </c>
      <c r="Q92">
        <v>30</v>
      </c>
      <c r="S92" s="43">
        <f t="shared" si="3"/>
        <v>60000</v>
      </c>
      <c r="T92" s="43">
        <v>56640</v>
      </c>
    </row>
    <row r="93" spans="5:20">
      <c r="E93" s="482">
        <v>46134</v>
      </c>
      <c r="F93" t="str">
        <f>_xlfn.XLOOKUP(G93,'Total (2)'!G:G,'Total (2)'!F:F)</f>
        <v>East 2</v>
      </c>
      <c r="G93" t="s">
        <v>153</v>
      </c>
      <c r="I93" t="s">
        <v>207</v>
      </c>
      <c r="J93">
        <v>12</v>
      </c>
      <c r="K93">
        <v>12</v>
      </c>
      <c r="M93">
        <v>1</v>
      </c>
      <c r="N93">
        <f t="shared" si="2"/>
        <v>840</v>
      </c>
      <c r="P93">
        <v>132</v>
      </c>
      <c r="Q93">
        <v>132</v>
      </c>
      <c r="S93" s="43">
        <f t="shared" si="3"/>
        <v>264000</v>
      </c>
      <c r="T93" s="43">
        <v>249216</v>
      </c>
    </row>
    <row r="94" spans="5:20">
      <c r="E94" s="482">
        <v>46134</v>
      </c>
      <c r="F94" t="str">
        <f>_xlfn.XLOOKUP(G94,'Total (2)'!G:G,'Total (2)'!F:F)</f>
        <v>East 1</v>
      </c>
      <c r="G94" t="s">
        <v>211</v>
      </c>
      <c r="I94" t="s">
        <v>207</v>
      </c>
      <c r="J94">
        <v>12</v>
      </c>
      <c r="K94">
        <v>12</v>
      </c>
      <c r="M94">
        <v>1</v>
      </c>
      <c r="N94">
        <f t="shared" si="2"/>
        <v>840</v>
      </c>
      <c r="P94">
        <v>222</v>
      </c>
      <c r="Q94">
        <v>222</v>
      </c>
      <c r="S94" s="43">
        <f t="shared" si="3"/>
        <v>444000</v>
      </c>
      <c r="T94" s="43">
        <v>419136</v>
      </c>
    </row>
    <row r="95" spans="5:20">
      <c r="E95" s="482">
        <v>46134</v>
      </c>
      <c r="F95" t="str">
        <f>_xlfn.XLOOKUP(G95,'Total (2)'!G:G,'Total (2)'!F:F)</f>
        <v>East 1</v>
      </c>
      <c r="G95" t="s">
        <v>50</v>
      </c>
      <c r="I95" t="s">
        <v>207</v>
      </c>
      <c r="J95">
        <v>12</v>
      </c>
      <c r="K95">
        <v>12</v>
      </c>
      <c r="M95">
        <v>1</v>
      </c>
      <c r="N95">
        <f t="shared" si="2"/>
        <v>840</v>
      </c>
      <c r="P95">
        <v>171</v>
      </c>
      <c r="Q95">
        <v>171</v>
      </c>
      <c r="S95" s="43">
        <f t="shared" si="3"/>
        <v>342000</v>
      </c>
      <c r="T95" s="43">
        <v>322848</v>
      </c>
    </row>
    <row r="96" spans="5:20">
      <c r="E96" s="482">
        <v>46134</v>
      </c>
      <c r="F96" t="str">
        <f>_xlfn.XLOOKUP(G96,'Total (2)'!G:G,'Total (2)'!F:F)</f>
        <v>West 2</v>
      </c>
      <c r="G96" t="s">
        <v>193</v>
      </c>
      <c r="I96" t="s">
        <v>207</v>
      </c>
      <c r="J96">
        <v>12</v>
      </c>
      <c r="K96">
        <v>12</v>
      </c>
      <c r="M96">
        <v>1</v>
      </c>
      <c r="N96">
        <f t="shared" si="2"/>
        <v>840</v>
      </c>
      <c r="P96">
        <v>240</v>
      </c>
      <c r="Q96">
        <v>240</v>
      </c>
      <c r="S96" s="43">
        <f t="shared" si="3"/>
        <v>480000</v>
      </c>
      <c r="T96" s="43">
        <v>453120</v>
      </c>
    </row>
    <row r="97" spans="5:20">
      <c r="E97" s="482">
        <v>46134</v>
      </c>
      <c r="F97" t="str">
        <f>_xlfn.XLOOKUP(G97,'Total (2)'!G:G,'Total (2)'!F:F)</f>
        <v>West 2</v>
      </c>
      <c r="G97" t="s">
        <v>69</v>
      </c>
      <c r="I97" t="s">
        <v>207</v>
      </c>
      <c r="J97">
        <v>12</v>
      </c>
      <c r="K97">
        <v>12</v>
      </c>
      <c r="M97">
        <v>1</v>
      </c>
      <c r="N97">
        <f t="shared" si="2"/>
        <v>840</v>
      </c>
      <c r="P97">
        <v>180</v>
      </c>
      <c r="Q97">
        <v>180</v>
      </c>
      <c r="S97" s="43">
        <f t="shared" si="3"/>
        <v>360000</v>
      </c>
      <c r="T97" s="43">
        <v>339840</v>
      </c>
    </row>
    <row r="98" spans="5:20">
      <c r="E98" s="482">
        <v>46134</v>
      </c>
      <c r="F98" t="str">
        <f>_xlfn.XLOOKUP(G98,'Total (2)'!G:G,'Total (2)'!F:F)</f>
        <v>West 2</v>
      </c>
      <c r="G98" t="s">
        <v>274</v>
      </c>
      <c r="I98" t="s">
        <v>207</v>
      </c>
      <c r="J98">
        <v>12</v>
      </c>
      <c r="K98">
        <v>12</v>
      </c>
      <c r="M98">
        <v>1</v>
      </c>
      <c r="N98">
        <f t="shared" si="2"/>
        <v>840</v>
      </c>
      <c r="P98">
        <v>60</v>
      </c>
      <c r="Q98">
        <v>60</v>
      </c>
      <c r="S98" s="43">
        <f t="shared" si="3"/>
        <v>120000</v>
      </c>
      <c r="T98" s="43">
        <v>113280</v>
      </c>
    </row>
    <row r="99" spans="5:20">
      <c r="E99" s="482">
        <v>46258</v>
      </c>
      <c r="F99" t="str">
        <f>_xlfn.XLOOKUP(G99,'Total (2)'!G:G,'Total (2)'!F:F)</f>
        <v>East 1</v>
      </c>
      <c r="G99" t="s">
        <v>39</v>
      </c>
      <c r="I99" t="s">
        <v>207</v>
      </c>
      <c r="J99">
        <v>12</v>
      </c>
      <c r="K99">
        <v>12</v>
      </c>
      <c r="M99">
        <v>1</v>
      </c>
      <c r="N99">
        <f t="shared" si="2"/>
        <v>840</v>
      </c>
      <c r="P99">
        <v>228</v>
      </c>
      <c r="Q99">
        <v>228</v>
      </c>
      <c r="S99" s="43">
        <f t="shared" si="3"/>
        <v>456000</v>
      </c>
      <c r="T99" s="43">
        <v>430464</v>
      </c>
    </row>
    <row r="100" spans="5:20">
      <c r="E100" s="482">
        <v>46258</v>
      </c>
      <c r="F100" t="str">
        <f>_xlfn.XLOOKUP(G100,'Total (2)'!G:G,'Total (2)'!F:F)</f>
        <v>East 2</v>
      </c>
      <c r="G100" t="s">
        <v>153</v>
      </c>
      <c r="I100" t="s">
        <v>207</v>
      </c>
      <c r="J100">
        <v>12</v>
      </c>
      <c r="K100">
        <v>12</v>
      </c>
      <c r="M100">
        <v>1</v>
      </c>
      <c r="N100">
        <f t="shared" si="2"/>
        <v>840</v>
      </c>
      <c r="P100">
        <v>60</v>
      </c>
      <c r="Q100">
        <v>60</v>
      </c>
      <c r="S100" s="43">
        <f t="shared" si="3"/>
        <v>120000</v>
      </c>
      <c r="T100" s="43">
        <v>113280</v>
      </c>
    </row>
    <row r="101" spans="5:20">
      <c r="E101" s="482">
        <v>46258</v>
      </c>
      <c r="F101" t="str">
        <f>_xlfn.XLOOKUP(G101,'Total (2)'!G:G,'Total (2)'!F:F)</f>
        <v>East 1</v>
      </c>
      <c r="G101" t="s">
        <v>211</v>
      </c>
      <c r="I101" t="s">
        <v>207</v>
      </c>
      <c r="J101">
        <v>12</v>
      </c>
      <c r="K101">
        <v>12</v>
      </c>
      <c r="M101">
        <v>1</v>
      </c>
      <c r="N101">
        <f t="shared" si="2"/>
        <v>840</v>
      </c>
      <c r="P101">
        <v>180</v>
      </c>
      <c r="Q101">
        <v>180</v>
      </c>
      <c r="S101" s="43">
        <f t="shared" si="3"/>
        <v>360000</v>
      </c>
      <c r="T101" s="43">
        <v>339840</v>
      </c>
    </row>
    <row r="102" spans="5:20">
      <c r="E102" s="482">
        <v>46258</v>
      </c>
      <c r="F102" t="str">
        <f>_xlfn.XLOOKUP(G102,'Total (2)'!G:G,'Total (2)'!F:F)</f>
        <v>West 2</v>
      </c>
      <c r="G102" t="s">
        <v>274</v>
      </c>
      <c r="I102" t="s">
        <v>207</v>
      </c>
      <c r="J102">
        <v>12</v>
      </c>
      <c r="K102">
        <v>12</v>
      </c>
      <c r="M102">
        <v>1</v>
      </c>
      <c r="N102">
        <f t="shared" si="2"/>
        <v>840</v>
      </c>
      <c r="P102">
        <v>96</v>
      </c>
      <c r="Q102">
        <v>96</v>
      </c>
      <c r="S102" s="43">
        <f t="shared" si="3"/>
        <v>192000</v>
      </c>
      <c r="T102" s="43">
        <v>181248</v>
      </c>
    </row>
    <row r="103" spans="5:20">
      <c r="E103" s="482">
        <v>46198</v>
      </c>
      <c r="F103" t="str">
        <f>_xlfn.XLOOKUP(G103,'Total (2)'!G:G,'Total (2)'!F:F)</f>
        <v>East 1</v>
      </c>
      <c r="G103" t="s">
        <v>276</v>
      </c>
      <c r="I103" t="s">
        <v>207</v>
      </c>
      <c r="J103">
        <v>12</v>
      </c>
      <c r="K103">
        <v>12</v>
      </c>
      <c r="M103">
        <v>1</v>
      </c>
      <c r="N103">
        <f t="shared" si="2"/>
        <v>840</v>
      </c>
      <c r="P103">
        <v>102</v>
      </c>
      <c r="Q103">
        <v>102</v>
      </c>
      <c r="S103" s="43">
        <f t="shared" si="3"/>
        <v>204000</v>
      </c>
      <c r="T103" s="43">
        <v>192576</v>
      </c>
    </row>
    <row r="104" spans="5:20">
      <c r="E104" s="482">
        <v>46198</v>
      </c>
      <c r="F104" t="str">
        <f>_xlfn.XLOOKUP(G104,'Total (2)'!G:G,'Total (2)'!F:F)</f>
        <v>East 1</v>
      </c>
      <c r="G104" t="s">
        <v>36</v>
      </c>
      <c r="I104" t="s">
        <v>207</v>
      </c>
      <c r="J104">
        <v>12</v>
      </c>
      <c r="K104">
        <v>12</v>
      </c>
      <c r="M104">
        <v>1</v>
      </c>
      <c r="N104">
        <f t="shared" si="2"/>
        <v>840</v>
      </c>
      <c r="P104">
        <v>132</v>
      </c>
      <c r="Q104">
        <v>132</v>
      </c>
      <c r="S104" s="43">
        <f t="shared" si="3"/>
        <v>264000</v>
      </c>
      <c r="T104" s="43">
        <v>249216</v>
      </c>
    </row>
    <row r="105" spans="5:20">
      <c r="E105" s="482">
        <v>46198</v>
      </c>
      <c r="F105" t="str">
        <f>_xlfn.XLOOKUP(G105,'Total (2)'!G:G,'Total (2)'!F:F)</f>
        <v>East 1</v>
      </c>
      <c r="G105" t="s">
        <v>39</v>
      </c>
      <c r="I105" t="s">
        <v>207</v>
      </c>
      <c r="J105">
        <v>12</v>
      </c>
      <c r="K105">
        <v>12</v>
      </c>
      <c r="M105">
        <v>1</v>
      </c>
      <c r="N105">
        <f t="shared" si="2"/>
        <v>840</v>
      </c>
      <c r="P105">
        <v>192</v>
      </c>
      <c r="Q105">
        <v>192</v>
      </c>
      <c r="S105" s="43">
        <f t="shared" si="3"/>
        <v>384000</v>
      </c>
      <c r="T105" s="43">
        <v>362496</v>
      </c>
    </row>
    <row r="106" spans="5:20">
      <c r="E106" s="482">
        <v>46198</v>
      </c>
      <c r="F106" t="str">
        <f>_xlfn.XLOOKUP(G106,'Total (2)'!G:G,'Total (2)'!F:F)</f>
        <v>East 1</v>
      </c>
      <c r="G106" t="s">
        <v>211</v>
      </c>
      <c r="I106" t="s">
        <v>207</v>
      </c>
      <c r="J106">
        <v>12</v>
      </c>
      <c r="K106">
        <v>12</v>
      </c>
      <c r="M106">
        <v>1</v>
      </c>
      <c r="N106">
        <f t="shared" si="2"/>
        <v>840</v>
      </c>
      <c r="P106">
        <v>198</v>
      </c>
      <c r="Q106">
        <v>198</v>
      </c>
      <c r="S106" s="43">
        <f t="shared" si="3"/>
        <v>396000</v>
      </c>
      <c r="T106" s="43">
        <v>373824</v>
      </c>
    </row>
    <row r="107" spans="5:20">
      <c r="E107" s="482">
        <v>46198</v>
      </c>
      <c r="F107" t="str">
        <f>_xlfn.XLOOKUP(G107,'Total (2)'!G:G,'Total (2)'!F:F)</f>
        <v>West 2</v>
      </c>
      <c r="G107" t="s">
        <v>262</v>
      </c>
      <c r="I107" t="s">
        <v>207</v>
      </c>
      <c r="J107">
        <v>12</v>
      </c>
      <c r="K107">
        <v>12</v>
      </c>
      <c r="M107">
        <v>1</v>
      </c>
      <c r="N107">
        <f t="shared" si="2"/>
        <v>840</v>
      </c>
      <c r="P107">
        <v>36</v>
      </c>
      <c r="Q107">
        <v>36</v>
      </c>
      <c r="S107" s="43">
        <f t="shared" si="3"/>
        <v>72000</v>
      </c>
      <c r="T107" s="43">
        <v>67968</v>
      </c>
    </row>
    <row r="108" spans="5:20">
      <c r="E108" s="482">
        <v>46198</v>
      </c>
      <c r="F108" t="str">
        <f>_xlfn.XLOOKUP(G108,'Total (2)'!G:G,'Total (2)'!F:F)</f>
        <v>West 2</v>
      </c>
      <c r="G108" t="s">
        <v>274</v>
      </c>
      <c r="I108" t="s">
        <v>207</v>
      </c>
      <c r="J108">
        <v>12</v>
      </c>
      <c r="K108">
        <v>12</v>
      </c>
      <c r="M108">
        <v>1</v>
      </c>
      <c r="N108">
        <f t="shared" si="2"/>
        <v>840</v>
      </c>
      <c r="P108">
        <v>60</v>
      </c>
      <c r="Q108">
        <v>60</v>
      </c>
      <c r="S108" s="43">
        <f t="shared" si="3"/>
        <v>120000</v>
      </c>
      <c r="T108" s="43">
        <v>113280</v>
      </c>
    </row>
    <row r="109" spans="5:20">
      <c r="E109" s="482">
        <v>46199</v>
      </c>
      <c r="F109" t="str">
        <f>_xlfn.XLOOKUP(G109,'Total (2)'!G:G,'Total (2)'!F:F)</f>
        <v>East 1</v>
      </c>
      <c r="G109" t="s">
        <v>39</v>
      </c>
      <c r="I109" t="s">
        <v>207</v>
      </c>
      <c r="J109">
        <v>12</v>
      </c>
      <c r="K109">
        <v>12</v>
      </c>
      <c r="M109">
        <v>1</v>
      </c>
      <c r="N109">
        <f t="shared" si="2"/>
        <v>840</v>
      </c>
      <c r="P109">
        <v>212</v>
      </c>
      <c r="Q109">
        <v>212</v>
      </c>
      <c r="S109" s="43">
        <f t="shared" si="3"/>
        <v>424000</v>
      </c>
      <c r="T109" s="43">
        <v>400256</v>
      </c>
    </row>
    <row r="110" spans="5:20">
      <c r="E110" s="482">
        <v>46199</v>
      </c>
      <c r="F110" t="str">
        <f>_xlfn.XLOOKUP(G110,'Total (2)'!G:G,'Total (2)'!F:F)</f>
        <v>West 2</v>
      </c>
      <c r="G110" t="s">
        <v>274</v>
      </c>
      <c r="I110" t="s">
        <v>207</v>
      </c>
      <c r="J110">
        <v>12</v>
      </c>
      <c r="K110">
        <v>12</v>
      </c>
      <c r="M110">
        <v>1</v>
      </c>
      <c r="N110">
        <f t="shared" si="2"/>
        <v>840</v>
      </c>
      <c r="P110">
        <v>576</v>
      </c>
      <c r="Q110">
        <v>576</v>
      </c>
      <c r="S110" s="43">
        <f t="shared" si="3"/>
        <v>1152000</v>
      </c>
      <c r="T110" s="43">
        <v>1087488</v>
      </c>
    </row>
    <row r="111" spans="5:20">
      <c r="E111" s="482">
        <v>46261</v>
      </c>
      <c r="F111" t="str">
        <f>_xlfn.XLOOKUP(G111,'Total (2)'!G:G,'Total (2)'!F:F)</f>
        <v>East 1</v>
      </c>
      <c r="G111" t="s">
        <v>39</v>
      </c>
      <c r="I111" t="s">
        <v>207</v>
      </c>
      <c r="J111">
        <v>12</v>
      </c>
      <c r="K111">
        <v>12</v>
      </c>
      <c r="M111">
        <v>1</v>
      </c>
      <c r="N111">
        <f t="shared" si="2"/>
        <v>840</v>
      </c>
      <c r="P111">
        <v>198</v>
      </c>
      <c r="Q111">
        <v>198</v>
      </c>
      <c r="S111" s="43">
        <f t="shared" si="3"/>
        <v>396000</v>
      </c>
      <c r="T111" s="43">
        <v>373824</v>
      </c>
    </row>
    <row r="112" spans="5:20">
      <c r="E112" s="482">
        <v>46261</v>
      </c>
      <c r="F112" t="str">
        <f>_xlfn.XLOOKUP(G112,'Total (2)'!G:G,'Total (2)'!F:F)</f>
        <v>West 2</v>
      </c>
      <c r="G112" t="s">
        <v>274</v>
      </c>
      <c r="I112" t="s">
        <v>207</v>
      </c>
      <c r="J112">
        <v>12</v>
      </c>
      <c r="K112">
        <v>12</v>
      </c>
      <c r="M112">
        <v>1</v>
      </c>
      <c r="N112">
        <f t="shared" si="2"/>
        <v>840</v>
      </c>
      <c r="P112">
        <v>408</v>
      </c>
      <c r="Q112">
        <v>408</v>
      </c>
      <c r="S112" s="43">
        <f t="shared" si="3"/>
        <v>816000</v>
      </c>
      <c r="T112" s="43">
        <v>770304</v>
      </c>
    </row>
    <row r="113" spans="5:20">
      <c r="E113" s="482">
        <v>46262</v>
      </c>
      <c r="F113" t="str">
        <f>_xlfn.XLOOKUP(G113,'Total (2)'!G:G,'Total (2)'!F:F)</f>
        <v>East 1</v>
      </c>
      <c r="G113" t="s">
        <v>39</v>
      </c>
      <c r="I113" t="s">
        <v>207</v>
      </c>
      <c r="J113">
        <v>12</v>
      </c>
      <c r="K113">
        <v>12</v>
      </c>
      <c r="M113">
        <v>1</v>
      </c>
      <c r="N113">
        <f t="shared" si="2"/>
        <v>840</v>
      </c>
      <c r="P113">
        <v>235</v>
      </c>
      <c r="Q113">
        <v>235</v>
      </c>
      <c r="S113" s="43">
        <f t="shared" si="3"/>
        <v>470000</v>
      </c>
      <c r="T113" s="43">
        <v>443680</v>
      </c>
    </row>
    <row r="114" spans="5:20">
      <c r="E114" s="482">
        <v>46262</v>
      </c>
      <c r="F114" t="str">
        <f>_xlfn.XLOOKUP(G114,'Total (2)'!G:G,'Total (2)'!F:F)</f>
        <v>West 2</v>
      </c>
      <c r="G114" t="s">
        <v>274</v>
      </c>
      <c r="I114" t="s">
        <v>207</v>
      </c>
      <c r="J114">
        <v>12</v>
      </c>
      <c r="K114">
        <v>12</v>
      </c>
      <c r="M114">
        <v>1</v>
      </c>
      <c r="N114">
        <f t="shared" si="2"/>
        <v>840</v>
      </c>
      <c r="P114">
        <v>348</v>
      </c>
      <c r="Q114">
        <v>348</v>
      </c>
      <c r="S114" s="43">
        <f t="shared" si="3"/>
        <v>696000</v>
      </c>
      <c r="T114" s="43">
        <v>657024</v>
      </c>
    </row>
    <row r="115" spans="5:20">
      <c r="E115" s="482">
        <v>46263</v>
      </c>
      <c r="F115" t="str">
        <f>_xlfn.XLOOKUP(G115,'Total (2)'!G:G,'Total (2)'!F:F)</f>
        <v>East 1</v>
      </c>
      <c r="G115" t="s">
        <v>39</v>
      </c>
      <c r="I115" t="s">
        <v>207</v>
      </c>
      <c r="J115">
        <v>12</v>
      </c>
      <c r="K115">
        <v>12</v>
      </c>
      <c r="M115">
        <v>1</v>
      </c>
      <c r="N115">
        <f t="shared" si="2"/>
        <v>840</v>
      </c>
      <c r="P115">
        <v>247</v>
      </c>
      <c r="Q115">
        <v>247</v>
      </c>
      <c r="S115" s="43">
        <f t="shared" si="3"/>
        <v>494000</v>
      </c>
      <c r="T115" s="43">
        <v>466336</v>
      </c>
    </row>
    <row r="116" spans="5:20">
      <c r="E116" s="482">
        <v>46263</v>
      </c>
      <c r="F116" t="str">
        <f>_xlfn.XLOOKUP(G116,'Total (2)'!G:G,'Total (2)'!F:F)</f>
        <v>West 2</v>
      </c>
      <c r="G116" t="s">
        <v>274</v>
      </c>
      <c r="I116" t="s">
        <v>207</v>
      </c>
      <c r="J116">
        <v>12</v>
      </c>
      <c r="K116">
        <v>12</v>
      </c>
      <c r="M116">
        <v>1</v>
      </c>
      <c r="N116">
        <f t="shared" si="2"/>
        <v>840</v>
      </c>
      <c r="P116">
        <v>270</v>
      </c>
      <c r="Q116">
        <v>270</v>
      </c>
      <c r="S116" s="43">
        <f t="shared" si="3"/>
        <v>540000</v>
      </c>
      <c r="T116" s="43">
        <v>509760</v>
      </c>
    </row>
    <row r="117" spans="5:20">
      <c r="E117" s="482">
        <v>46265</v>
      </c>
      <c r="F117" t="str">
        <f>_xlfn.XLOOKUP(G117,'Total (2)'!G:G,'Total (2)'!F:F)</f>
        <v>East 1</v>
      </c>
      <c r="G117" t="s">
        <v>39</v>
      </c>
      <c r="I117" t="s">
        <v>207</v>
      </c>
      <c r="J117">
        <v>12</v>
      </c>
      <c r="K117">
        <v>12</v>
      </c>
      <c r="M117">
        <v>1</v>
      </c>
      <c r="N117">
        <f t="shared" si="2"/>
        <v>840</v>
      </c>
      <c r="P117">
        <v>316</v>
      </c>
      <c r="Q117">
        <v>316</v>
      </c>
      <c r="S117" s="43">
        <f t="shared" si="3"/>
        <v>632000</v>
      </c>
      <c r="T117" s="43">
        <v>596608</v>
      </c>
    </row>
    <row r="118" spans="5:20">
      <c r="E118" s="482">
        <v>46265</v>
      </c>
      <c r="F118" t="str">
        <f>_xlfn.XLOOKUP(G118,'Total (2)'!G:G,'Total (2)'!F:F)</f>
        <v>East 2</v>
      </c>
      <c r="G118" t="s">
        <v>153</v>
      </c>
      <c r="I118" t="s">
        <v>207</v>
      </c>
      <c r="J118">
        <v>12</v>
      </c>
      <c r="K118">
        <v>12</v>
      </c>
      <c r="M118">
        <v>1</v>
      </c>
      <c r="N118">
        <f t="shared" si="2"/>
        <v>840</v>
      </c>
      <c r="P118">
        <v>252</v>
      </c>
      <c r="Q118">
        <v>252</v>
      </c>
      <c r="S118" s="43">
        <f t="shared" si="3"/>
        <v>504000</v>
      </c>
      <c r="T118" s="43">
        <v>475776</v>
      </c>
    </row>
    <row r="119" spans="5:20">
      <c r="E119" s="482">
        <v>46265</v>
      </c>
      <c r="F119" t="str">
        <f>_xlfn.XLOOKUP(G119,'Total (2)'!G:G,'Total (2)'!F:F)</f>
        <v>West 2</v>
      </c>
      <c r="G119" t="s">
        <v>69</v>
      </c>
      <c r="I119" t="s">
        <v>207</v>
      </c>
      <c r="J119">
        <v>12</v>
      </c>
      <c r="K119">
        <v>12</v>
      </c>
      <c r="M119">
        <v>1</v>
      </c>
      <c r="N119">
        <f t="shared" si="2"/>
        <v>840</v>
      </c>
      <c r="P119">
        <v>252</v>
      </c>
      <c r="Q119">
        <v>252</v>
      </c>
      <c r="S119" s="43">
        <f t="shared" si="3"/>
        <v>504000</v>
      </c>
      <c r="T119" s="43">
        <v>475776</v>
      </c>
    </row>
    <row r="120" spans="5:20">
      <c r="E120" s="482">
        <v>46265</v>
      </c>
      <c r="F120" t="str">
        <f>_xlfn.XLOOKUP(G120,'Total (2)'!G:G,'Total (2)'!F:F)</f>
        <v>West 2</v>
      </c>
      <c r="G120" t="s">
        <v>274</v>
      </c>
      <c r="I120" t="s">
        <v>207</v>
      </c>
      <c r="J120">
        <v>12</v>
      </c>
      <c r="K120">
        <v>12</v>
      </c>
      <c r="M120">
        <v>1</v>
      </c>
      <c r="N120">
        <f t="shared" si="2"/>
        <v>840</v>
      </c>
      <c r="P120">
        <v>270</v>
      </c>
      <c r="Q120">
        <v>270</v>
      </c>
      <c r="S120" s="43">
        <f t="shared" si="3"/>
        <v>540000</v>
      </c>
      <c r="T120" s="43">
        <v>509760</v>
      </c>
    </row>
    <row r="121" spans="5:20">
      <c r="E121" s="482">
        <v>46266</v>
      </c>
      <c r="F121" t="str">
        <f>_xlfn.XLOOKUP(G121,'Total (2)'!G:G,'Total (2)'!F:F)</f>
        <v>East 1</v>
      </c>
      <c r="G121" t="s">
        <v>39</v>
      </c>
      <c r="I121" t="s">
        <v>207</v>
      </c>
      <c r="J121">
        <v>12</v>
      </c>
      <c r="K121">
        <v>12</v>
      </c>
      <c r="M121">
        <v>1</v>
      </c>
      <c r="N121">
        <f t="shared" si="2"/>
        <v>840</v>
      </c>
      <c r="P121">
        <v>432</v>
      </c>
      <c r="Q121">
        <v>432</v>
      </c>
      <c r="S121" s="43">
        <f t="shared" si="3"/>
        <v>864000</v>
      </c>
      <c r="T121" s="43">
        <v>815616</v>
      </c>
    </row>
    <row r="122" spans="5:20">
      <c r="E122" s="482">
        <v>46266</v>
      </c>
      <c r="F122" t="str">
        <f>_xlfn.XLOOKUP(G122,'Total (2)'!G:G,'Total (2)'!F:F)</f>
        <v>East 2</v>
      </c>
      <c r="G122" t="s">
        <v>153</v>
      </c>
      <c r="I122" t="s">
        <v>207</v>
      </c>
      <c r="J122">
        <v>12</v>
      </c>
      <c r="K122">
        <v>12</v>
      </c>
      <c r="M122">
        <v>1</v>
      </c>
      <c r="N122">
        <f t="shared" si="2"/>
        <v>840</v>
      </c>
      <c r="P122">
        <v>252</v>
      </c>
      <c r="Q122">
        <v>252</v>
      </c>
      <c r="S122" s="43">
        <f t="shared" si="3"/>
        <v>504000</v>
      </c>
      <c r="T122" s="43">
        <v>475776</v>
      </c>
    </row>
    <row r="123" spans="5:20">
      <c r="E123" s="482">
        <v>46266</v>
      </c>
      <c r="F123" t="str">
        <f>_xlfn.XLOOKUP(G123,'Total (2)'!G:G,'Total (2)'!F:F)</f>
        <v>East 2</v>
      </c>
      <c r="G123" t="s">
        <v>47</v>
      </c>
      <c r="I123" t="s">
        <v>207</v>
      </c>
      <c r="J123">
        <v>12</v>
      </c>
      <c r="K123">
        <v>12</v>
      </c>
      <c r="M123">
        <v>1</v>
      </c>
      <c r="N123">
        <f t="shared" si="2"/>
        <v>840</v>
      </c>
      <c r="P123">
        <v>260</v>
      </c>
      <c r="Q123">
        <v>260</v>
      </c>
      <c r="S123" s="43">
        <f t="shared" si="3"/>
        <v>520000</v>
      </c>
      <c r="T123" s="43">
        <v>498333</v>
      </c>
    </row>
    <row r="124" spans="5:20">
      <c r="E124" s="482">
        <v>46266</v>
      </c>
      <c r="F124" t="str">
        <f>_xlfn.XLOOKUP(G124,'Total (2)'!G:G,'Total (2)'!F:F)</f>
        <v>East 1</v>
      </c>
      <c r="G124" t="s">
        <v>48</v>
      </c>
      <c r="I124" t="s">
        <v>207</v>
      </c>
      <c r="J124">
        <v>12</v>
      </c>
      <c r="K124">
        <v>12</v>
      </c>
      <c r="M124">
        <v>1</v>
      </c>
      <c r="N124">
        <f t="shared" si="2"/>
        <v>840</v>
      </c>
      <c r="P124">
        <v>130</v>
      </c>
      <c r="Q124">
        <v>130</v>
      </c>
      <c r="S124" s="43">
        <f t="shared" si="3"/>
        <v>260000</v>
      </c>
      <c r="T124" s="43">
        <v>245440</v>
      </c>
    </row>
    <row r="125" spans="5:20">
      <c r="E125" s="482">
        <v>46266</v>
      </c>
      <c r="F125" t="str">
        <f>_xlfn.XLOOKUP(G125,'Total (2)'!G:G,'Total (2)'!F:F)</f>
        <v>East 1</v>
      </c>
      <c r="G125" t="s">
        <v>50</v>
      </c>
      <c r="I125" t="s">
        <v>207</v>
      </c>
      <c r="J125">
        <v>12</v>
      </c>
      <c r="K125">
        <v>12</v>
      </c>
      <c r="M125">
        <v>1</v>
      </c>
      <c r="N125">
        <f t="shared" si="2"/>
        <v>840</v>
      </c>
      <c r="P125">
        <v>120</v>
      </c>
      <c r="Q125">
        <v>120</v>
      </c>
      <c r="S125" s="43">
        <f t="shared" si="3"/>
        <v>240000</v>
      </c>
      <c r="T125" s="43">
        <v>230000</v>
      </c>
    </row>
    <row r="126" spans="5:20">
      <c r="E126" s="482">
        <v>46266</v>
      </c>
      <c r="F126" t="str">
        <f>_xlfn.XLOOKUP(G126,'Total (2)'!G:G,'Total (2)'!F:F)</f>
        <v>West 2</v>
      </c>
      <c r="G126" t="s">
        <v>193</v>
      </c>
      <c r="I126" t="s">
        <v>207</v>
      </c>
      <c r="J126">
        <v>12</v>
      </c>
      <c r="K126">
        <v>12</v>
      </c>
      <c r="M126">
        <v>1</v>
      </c>
      <c r="N126">
        <f t="shared" si="2"/>
        <v>840</v>
      </c>
      <c r="P126">
        <v>180</v>
      </c>
      <c r="Q126">
        <v>180</v>
      </c>
      <c r="S126" s="43">
        <f t="shared" si="3"/>
        <v>360000</v>
      </c>
      <c r="T126" s="43">
        <v>345000</v>
      </c>
    </row>
    <row r="127" spans="5:20">
      <c r="E127" s="482">
        <v>46266</v>
      </c>
      <c r="F127" t="str">
        <f>_xlfn.XLOOKUP(G127,'Total (2)'!G:G,'Total (2)'!F:F)</f>
        <v>West 2</v>
      </c>
      <c r="G127" t="s">
        <v>69</v>
      </c>
      <c r="I127" t="s">
        <v>207</v>
      </c>
      <c r="J127">
        <v>12</v>
      </c>
      <c r="K127">
        <v>12</v>
      </c>
      <c r="M127">
        <v>1</v>
      </c>
      <c r="N127">
        <f t="shared" si="2"/>
        <v>840</v>
      </c>
      <c r="P127">
        <v>270</v>
      </c>
      <c r="Q127">
        <v>270</v>
      </c>
      <c r="S127" s="43">
        <f t="shared" si="3"/>
        <v>540000</v>
      </c>
      <c r="T127" s="43">
        <v>517500</v>
      </c>
    </row>
    <row r="128" spans="5:20">
      <c r="E128" s="482">
        <v>46266</v>
      </c>
      <c r="F128" t="str">
        <f>_xlfn.XLOOKUP(G128,'Total (2)'!G:G,'Total (2)'!F:F)</f>
        <v>West 2</v>
      </c>
      <c r="G128" t="s">
        <v>274</v>
      </c>
      <c r="I128" t="s">
        <v>207</v>
      </c>
      <c r="J128">
        <v>12</v>
      </c>
      <c r="K128">
        <v>12</v>
      </c>
      <c r="M128">
        <v>1</v>
      </c>
      <c r="N128">
        <f t="shared" si="2"/>
        <v>840</v>
      </c>
      <c r="P128">
        <v>234</v>
      </c>
      <c r="Q128">
        <v>234</v>
      </c>
      <c r="S128" s="43">
        <f t="shared" si="3"/>
        <v>468000</v>
      </c>
      <c r="T128" s="43">
        <v>441792</v>
      </c>
    </row>
    <row r="129" spans="5:20">
      <c r="E129" s="482">
        <v>46267</v>
      </c>
      <c r="F129" t="str">
        <f>_xlfn.XLOOKUP(G129,'Total (2)'!G:G,'Total (2)'!F:F)</f>
        <v>East 1</v>
      </c>
      <c r="G129" t="s">
        <v>39</v>
      </c>
      <c r="I129" t="s">
        <v>207</v>
      </c>
      <c r="J129">
        <v>12</v>
      </c>
      <c r="K129">
        <v>12</v>
      </c>
      <c r="M129">
        <v>1</v>
      </c>
      <c r="N129">
        <f t="shared" si="2"/>
        <v>840</v>
      </c>
      <c r="P129">
        <v>482</v>
      </c>
      <c r="Q129">
        <v>482</v>
      </c>
      <c r="S129" s="43">
        <f t="shared" si="3"/>
        <v>964000</v>
      </c>
      <c r="T129" s="43">
        <v>910016</v>
      </c>
    </row>
    <row r="130" spans="5:20">
      <c r="E130" s="482">
        <v>46267</v>
      </c>
      <c r="F130" t="str">
        <f>_xlfn.XLOOKUP(G130,'Total (2)'!G:G,'Total (2)'!F:F)</f>
        <v>East 2</v>
      </c>
      <c r="G130" t="s">
        <v>153</v>
      </c>
      <c r="I130" t="s">
        <v>207</v>
      </c>
      <c r="J130">
        <v>12</v>
      </c>
      <c r="K130">
        <v>12</v>
      </c>
      <c r="M130">
        <v>1</v>
      </c>
      <c r="N130">
        <f t="shared" si="2"/>
        <v>840</v>
      </c>
      <c r="P130">
        <v>252</v>
      </c>
      <c r="Q130">
        <v>252</v>
      </c>
      <c r="S130" s="43">
        <f t="shared" si="3"/>
        <v>504000</v>
      </c>
      <c r="T130" s="43">
        <v>475776</v>
      </c>
    </row>
    <row r="131" spans="5:20">
      <c r="E131" s="482">
        <v>46267</v>
      </c>
      <c r="F131" t="str">
        <f>_xlfn.XLOOKUP(G131,'Total (2)'!G:G,'Total (2)'!F:F)</f>
        <v>East 2</v>
      </c>
      <c r="G131" t="s">
        <v>47</v>
      </c>
      <c r="I131" t="s">
        <v>207</v>
      </c>
      <c r="J131">
        <v>12</v>
      </c>
      <c r="K131">
        <v>12</v>
      </c>
      <c r="M131">
        <v>1</v>
      </c>
      <c r="N131">
        <f t="shared" si="2"/>
        <v>840</v>
      </c>
      <c r="P131">
        <v>255</v>
      </c>
      <c r="Q131">
        <v>255</v>
      </c>
      <c r="S131" s="43">
        <f t="shared" si="3"/>
        <v>510000</v>
      </c>
      <c r="T131" s="43">
        <v>488750</v>
      </c>
    </row>
    <row r="132" spans="5:20">
      <c r="E132" s="482">
        <v>46267</v>
      </c>
      <c r="F132" t="str">
        <f>_xlfn.XLOOKUP(G132,'Total (2)'!G:G,'Total (2)'!F:F)</f>
        <v>East 1</v>
      </c>
      <c r="G132" t="s">
        <v>48</v>
      </c>
      <c r="I132" t="s">
        <v>207</v>
      </c>
      <c r="J132">
        <v>12</v>
      </c>
      <c r="K132">
        <v>12</v>
      </c>
      <c r="M132">
        <v>1</v>
      </c>
      <c r="N132">
        <f t="shared" si="2"/>
        <v>840</v>
      </c>
      <c r="P132">
        <v>198</v>
      </c>
      <c r="Q132">
        <v>198</v>
      </c>
      <c r="S132" s="43">
        <f t="shared" si="3"/>
        <v>396000</v>
      </c>
      <c r="T132" s="43">
        <v>373824</v>
      </c>
    </row>
    <row r="133" spans="5:20">
      <c r="E133" s="482">
        <v>46267</v>
      </c>
      <c r="F133" t="str">
        <f>_xlfn.XLOOKUP(G133,'Total (2)'!G:G,'Total (2)'!F:F)</f>
        <v>East 1</v>
      </c>
      <c r="G133" t="s">
        <v>50</v>
      </c>
      <c r="I133" t="s">
        <v>207</v>
      </c>
      <c r="J133">
        <v>12</v>
      </c>
      <c r="K133">
        <v>12</v>
      </c>
      <c r="M133">
        <v>1</v>
      </c>
      <c r="N133">
        <f t="shared" ref="N133:N152" si="4">70*12</f>
        <v>840</v>
      </c>
      <c r="P133">
        <v>246</v>
      </c>
      <c r="Q133">
        <v>246</v>
      </c>
      <c r="S133" s="43">
        <f t="shared" si="3"/>
        <v>492000</v>
      </c>
      <c r="T133" s="43">
        <v>471500</v>
      </c>
    </row>
    <row r="134" spans="5:20">
      <c r="E134" s="482">
        <v>46267</v>
      </c>
      <c r="F134" t="str">
        <f>_xlfn.XLOOKUP(G134,'Total (2)'!G:G,'Total (2)'!F:F)</f>
        <v>West 2</v>
      </c>
      <c r="G134" t="s">
        <v>193</v>
      </c>
      <c r="I134" t="s">
        <v>207</v>
      </c>
      <c r="J134">
        <v>12</v>
      </c>
      <c r="K134">
        <v>12</v>
      </c>
      <c r="M134">
        <v>1</v>
      </c>
      <c r="N134">
        <f t="shared" si="4"/>
        <v>840</v>
      </c>
      <c r="P134">
        <v>240</v>
      </c>
      <c r="Q134">
        <v>240</v>
      </c>
      <c r="S134" s="43">
        <f t="shared" si="3"/>
        <v>480000</v>
      </c>
      <c r="T134" s="43">
        <v>460000</v>
      </c>
    </row>
    <row r="135" spans="5:20">
      <c r="E135" s="482">
        <v>46267</v>
      </c>
      <c r="F135" t="str">
        <f>_xlfn.XLOOKUP(G135,'Total (2)'!G:G,'Total (2)'!F:F)</f>
        <v>West 2</v>
      </c>
      <c r="G135" t="s">
        <v>262</v>
      </c>
      <c r="I135" t="s">
        <v>207</v>
      </c>
      <c r="J135">
        <v>12</v>
      </c>
      <c r="K135">
        <v>12</v>
      </c>
      <c r="M135">
        <v>1</v>
      </c>
      <c r="N135">
        <f t="shared" si="4"/>
        <v>840</v>
      </c>
      <c r="P135">
        <v>48</v>
      </c>
      <c r="Q135">
        <v>48</v>
      </c>
      <c r="S135" s="43">
        <f t="shared" si="3"/>
        <v>96000</v>
      </c>
      <c r="T135" s="43">
        <v>90592</v>
      </c>
    </row>
    <row r="136" spans="5:20">
      <c r="E136" s="482">
        <v>46267</v>
      </c>
      <c r="F136" t="str">
        <f>_xlfn.XLOOKUP(G136,'Total (2)'!G:G,'Total (2)'!F:F)</f>
        <v>West 2</v>
      </c>
      <c r="G136" t="s">
        <v>69</v>
      </c>
      <c r="I136" t="s">
        <v>207</v>
      </c>
      <c r="J136">
        <v>12</v>
      </c>
      <c r="K136">
        <v>12</v>
      </c>
      <c r="M136">
        <v>1</v>
      </c>
      <c r="N136">
        <f t="shared" si="4"/>
        <v>840</v>
      </c>
      <c r="P136">
        <v>240</v>
      </c>
      <c r="Q136">
        <v>240</v>
      </c>
      <c r="S136" s="43">
        <f t="shared" si="3"/>
        <v>480000</v>
      </c>
      <c r="T136" s="43">
        <v>460000</v>
      </c>
    </row>
    <row r="137" spans="5:20">
      <c r="E137" s="482">
        <v>46267</v>
      </c>
      <c r="F137" t="str">
        <f>_xlfn.XLOOKUP(G137,'Total (2)'!G:G,'Total (2)'!F:F)</f>
        <v>West 2</v>
      </c>
      <c r="G137" t="s">
        <v>274</v>
      </c>
      <c r="I137" t="s">
        <v>207</v>
      </c>
      <c r="J137">
        <v>12</v>
      </c>
      <c r="K137">
        <v>12</v>
      </c>
      <c r="M137">
        <v>1</v>
      </c>
      <c r="N137">
        <f t="shared" si="4"/>
        <v>840</v>
      </c>
      <c r="P137">
        <v>240</v>
      </c>
      <c r="Q137">
        <v>240</v>
      </c>
      <c r="S137" s="43">
        <f t="shared" si="3"/>
        <v>480000</v>
      </c>
      <c r="T137" s="43">
        <v>453120</v>
      </c>
    </row>
    <row r="138" spans="5:20">
      <c r="E138" s="482">
        <v>46268</v>
      </c>
      <c r="F138" t="str">
        <f>_xlfn.XLOOKUP(G138,'Total (2)'!G:G,'Total (2)'!F:F)</f>
        <v>East 1</v>
      </c>
      <c r="G138" t="s">
        <v>36</v>
      </c>
      <c r="I138" t="s">
        <v>207</v>
      </c>
      <c r="J138">
        <v>12</v>
      </c>
      <c r="K138">
        <v>12</v>
      </c>
      <c r="M138">
        <v>1</v>
      </c>
      <c r="N138">
        <f t="shared" si="4"/>
        <v>840</v>
      </c>
      <c r="P138">
        <v>252</v>
      </c>
      <c r="Q138">
        <v>252</v>
      </c>
      <c r="S138" s="43">
        <f t="shared" si="3"/>
        <v>504000</v>
      </c>
      <c r="T138" s="43">
        <v>475776</v>
      </c>
    </row>
    <row r="139" spans="5:20">
      <c r="E139" s="482">
        <v>46268</v>
      </c>
      <c r="F139" t="str">
        <f>_xlfn.XLOOKUP(G139,'Total (2)'!G:G,'Total (2)'!F:F)</f>
        <v>East 2</v>
      </c>
      <c r="G139" t="s">
        <v>153</v>
      </c>
      <c r="I139" t="s">
        <v>207</v>
      </c>
      <c r="J139">
        <v>12</v>
      </c>
      <c r="K139">
        <v>12</v>
      </c>
      <c r="M139">
        <v>1</v>
      </c>
      <c r="N139">
        <f t="shared" si="4"/>
        <v>840</v>
      </c>
      <c r="P139">
        <v>252</v>
      </c>
      <c r="Q139">
        <v>252</v>
      </c>
      <c r="S139" s="43">
        <f t="shared" si="3"/>
        <v>504000</v>
      </c>
      <c r="T139" s="43">
        <v>475776</v>
      </c>
    </row>
    <row r="140" spans="5:20">
      <c r="E140" s="482">
        <v>46268</v>
      </c>
      <c r="F140" t="str">
        <f>_xlfn.XLOOKUP(G140,'Total (2)'!G:G,'Total (2)'!F:F)</f>
        <v>East 2</v>
      </c>
      <c r="G140" t="s">
        <v>47</v>
      </c>
      <c r="I140" t="s">
        <v>207</v>
      </c>
      <c r="J140">
        <v>12</v>
      </c>
      <c r="K140">
        <v>12</v>
      </c>
      <c r="M140">
        <v>1</v>
      </c>
      <c r="N140">
        <f t="shared" si="4"/>
        <v>840</v>
      </c>
      <c r="P140">
        <v>240</v>
      </c>
      <c r="Q140">
        <v>240</v>
      </c>
      <c r="S140" s="43">
        <f t="shared" si="3"/>
        <v>480000</v>
      </c>
      <c r="T140" s="43">
        <v>460000</v>
      </c>
    </row>
    <row r="141" spans="5:20">
      <c r="E141" s="482">
        <v>46268</v>
      </c>
      <c r="F141" t="str">
        <f>_xlfn.XLOOKUP(G141,'Total (2)'!G:G,'Total (2)'!F:F)</f>
        <v>East 1</v>
      </c>
      <c r="G141" t="s">
        <v>48</v>
      </c>
      <c r="I141" t="s">
        <v>207</v>
      </c>
      <c r="J141">
        <v>12</v>
      </c>
      <c r="K141">
        <v>12</v>
      </c>
      <c r="M141">
        <v>1</v>
      </c>
      <c r="N141">
        <f t="shared" si="4"/>
        <v>840</v>
      </c>
      <c r="P141">
        <v>160</v>
      </c>
      <c r="Q141">
        <v>160</v>
      </c>
      <c r="S141" s="43">
        <f t="shared" si="3"/>
        <v>320000</v>
      </c>
      <c r="T141" s="43">
        <v>302080</v>
      </c>
    </row>
    <row r="142" spans="5:20">
      <c r="E142" s="482">
        <v>46268</v>
      </c>
      <c r="F142" t="str">
        <f>_xlfn.XLOOKUP(G142,'Total (2)'!G:G,'Total (2)'!F:F)</f>
        <v>West 2</v>
      </c>
      <c r="G142" t="s">
        <v>193</v>
      </c>
      <c r="I142" t="s">
        <v>207</v>
      </c>
      <c r="J142">
        <v>12</v>
      </c>
      <c r="K142">
        <v>12</v>
      </c>
      <c r="M142">
        <v>1</v>
      </c>
      <c r="N142">
        <f t="shared" si="4"/>
        <v>840</v>
      </c>
      <c r="P142">
        <v>222</v>
      </c>
      <c r="Q142">
        <v>222</v>
      </c>
      <c r="S142" s="43">
        <f t="shared" si="3"/>
        <v>444000</v>
      </c>
      <c r="T142" s="43">
        <v>425500</v>
      </c>
    </row>
    <row r="143" spans="5:20">
      <c r="E143" s="482">
        <v>46268</v>
      </c>
      <c r="F143" t="str">
        <f>_xlfn.XLOOKUP(G143,'Total (2)'!G:G,'Total (2)'!F:F)</f>
        <v>West 2</v>
      </c>
      <c r="G143" t="s">
        <v>69</v>
      </c>
      <c r="I143" t="s">
        <v>207</v>
      </c>
      <c r="J143">
        <v>12</v>
      </c>
      <c r="K143">
        <v>12</v>
      </c>
      <c r="M143">
        <v>1</v>
      </c>
      <c r="N143">
        <f t="shared" si="4"/>
        <v>840</v>
      </c>
      <c r="P143">
        <v>252</v>
      </c>
      <c r="Q143">
        <v>252</v>
      </c>
      <c r="S143" s="43">
        <f t="shared" si="3"/>
        <v>504000</v>
      </c>
      <c r="T143" s="43">
        <v>483000</v>
      </c>
    </row>
    <row r="144" spans="5:20">
      <c r="E144" s="482">
        <v>46268</v>
      </c>
      <c r="F144" t="str">
        <f>_xlfn.XLOOKUP(G144,'Total (2)'!G:G,'Total (2)'!F:F)</f>
        <v>West 2</v>
      </c>
      <c r="G144" t="s">
        <v>274</v>
      </c>
      <c r="I144" t="s">
        <v>207</v>
      </c>
      <c r="J144">
        <v>12</v>
      </c>
      <c r="K144">
        <v>12</v>
      </c>
      <c r="M144">
        <v>1</v>
      </c>
      <c r="N144">
        <f t="shared" si="4"/>
        <v>840</v>
      </c>
      <c r="P144">
        <v>258</v>
      </c>
      <c r="Q144">
        <v>258</v>
      </c>
      <c r="S144" s="43">
        <f t="shared" si="3"/>
        <v>516000</v>
      </c>
      <c r="T144" s="43">
        <v>487104</v>
      </c>
    </row>
    <row r="145" spans="5:20">
      <c r="E145" s="482">
        <v>46269</v>
      </c>
      <c r="F145" t="str">
        <f>_xlfn.XLOOKUP(G145,'Total (2)'!G:G,'Total (2)'!F:F)</f>
        <v>West 2</v>
      </c>
      <c r="G145" t="s">
        <v>193</v>
      </c>
      <c r="I145" t="s">
        <v>207</v>
      </c>
      <c r="J145">
        <v>12</v>
      </c>
      <c r="K145">
        <v>12</v>
      </c>
      <c r="M145">
        <v>1</v>
      </c>
      <c r="N145">
        <f t="shared" si="4"/>
        <v>840</v>
      </c>
      <c r="P145">
        <v>252</v>
      </c>
      <c r="Q145">
        <v>252</v>
      </c>
      <c r="S145" s="43">
        <f t="shared" si="3"/>
        <v>504000</v>
      </c>
      <c r="T145" s="43">
        <v>494500</v>
      </c>
    </row>
    <row r="146" spans="5:20">
      <c r="E146" s="482">
        <v>46269</v>
      </c>
      <c r="F146" t="str">
        <f>_xlfn.XLOOKUP(G146,'Total (2)'!G:G,'Total (2)'!F:F)</f>
        <v>East 1</v>
      </c>
      <c r="G146" t="s">
        <v>36</v>
      </c>
      <c r="I146" t="s">
        <v>207</v>
      </c>
      <c r="J146">
        <v>12</v>
      </c>
      <c r="K146">
        <v>12</v>
      </c>
      <c r="M146">
        <v>1</v>
      </c>
      <c r="N146">
        <f t="shared" si="4"/>
        <v>840</v>
      </c>
      <c r="P146">
        <v>180</v>
      </c>
      <c r="Q146">
        <v>180</v>
      </c>
      <c r="S146" s="43">
        <f t="shared" si="3"/>
        <v>360000</v>
      </c>
      <c r="T146" s="43">
        <v>345000</v>
      </c>
    </row>
    <row r="147" spans="5:20">
      <c r="E147" s="482">
        <v>46269</v>
      </c>
      <c r="F147" t="str">
        <f>_xlfn.XLOOKUP(G147,'Total (2)'!G:G,'Total (2)'!F:F)</f>
        <v>West 2</v>
      </c>
      <c r="G147" t="s">
        <v>262</v>
      </c>
      <c r="I147" t="s">
        <v>207</v>
      </c>
      <c r="J147">
        <v>12</v>
      </c>
      <c r="K147">
        <v>12</v>
      </c>
      <c r="M147">
        <v>1</v>
      </c>
      <c r="N147">
        <f t="shared" si="4"/>
        <v>840</v>
      </c>
      <c r="P147">
        <v>414</v>
      </c>
      <c r="Q147">
        <v>414</v>
      </c>
      <c r="S147" s="43">
        <f t="shared" si="3"/>
        <v>828000</v>
      </c>
      <c r="T147" s="43">
        <v>793224</v>
      </c>
    </row>
    <row r="148" spans="5:20">
      <c r="E148" s="482">
        <v>46269</v>
      </c>
      <c r="F148" t="str">
        <f>_xlfn.XLOOKUP(G148,'Total (2)'!G:G,'Total (2)'!F:F)</f>
        <v>West 2</v>
      </c>
      <c r="G148" t="s">
        <v>274</v>
      </c>
      <c r="I148" t="s">
        <v>207</v>
      </c>
      <c r="J148">
        <v>12</v>
      </c>
      <c r="K148">
        <v>12</v>
      </c>
      <c r="M148">
        <v>1</v>
      </c>
      <c r="N148">
        <f t="shared" si="4"/>
        <v>840</v>
      </c>
      <c r="P148">
        <v>510</v>
      </c>
      <c r="Q148">
        <v>510</v>
      </c>
      <c r="S148" s="43">
        <f t="shared" si="3"/>
        <v>1020000</v>
      </c>
      <c r="T148" s="43">
        <v>1020000</v>
      </c>
    </row>
    <row r="149" spans="5:20">
      <c r="E149" s="482">
        <v>46269</v>
      </c>
      <c r="F149" t="str">
        <f>_xlfn.XLOOKUP(G149,'Total (2)'!G:G,'Total (2)'!F:F)</f>
        <v>East 2</v>
      </c>
      <c r="G149" t="s">
        <v>47</v>
      </c>
      <c r="I149" t="s">
        <v>207</v>
      </c>
      <c r="J149">
        <v>12</v>
      </c>
      <c r="K149">
        <v>12</v>
      </c>
      <c r="M149">
        <v>1</v>
      </c>
      <c r="N149">
        <f t="shared" si="4"/>
        <v>840</v>
      </c>
      <c r="P149">
        <v>504</v>
      </c>
      <c r="Q149">
        <v>504</v>
      </c>
      <c r="S149" s="43">
        <f t="shared" si="3"/>
        <v>1008000</v>
      </c>
      <c r="T149" s="43">
        <v>966000</v>
      </c>
    </row>
    <row r="150" spans="5:20">
      <c r="E150" s="482">
        <v>46269</v>
      </c>
      <c r="F150" t="str">
        <f>_xlfn.XLOOKUP(G150,'Total (2)'!G:G,'Total (2)'!F:F)</f>
        <v>West 2</v>
      </c>
      <c r="G150" t="s">
        <v>69</v>
      </c>
      <c r="I150" t="s">
        <v>207</v>
      </c>
      <c r="J150">
        <v>12</v>
      </c>
      <c r="K150">
        <v>12</v>
      </c>
      <c r="M150">
        <v>1</v>
      </c>
      <c r="N150">
        <f t="shared" si="4"/>
        <v>840</v>
      </c>
      <c r="P150">
        <v>564</v>
      </c>
      <c r="Q150">
        <v>564</v>
      </c>
      <c r="S150" s="43">
        <f t="shared" si="3"/>
        <v>1128000</v>
      </c>
      <c r="T150" s="43">
        <v>1081000</v>
      </c>
    </row>
    <row r="151" spans="5:20">
      <c r="E151" s="482">
        <v>46269</v>
      </c>
      <c r="F151" t="str">
        <f>_xlfn.XLOOKUP(G151,'Total (2)'!G:G,'Total (2)'!F:F)</f>
        <v>East 2</v>
      </c>
      <c r="G151" t="s">
        <v>153</v>
      </c>
      <c r="I151" t="s">
        <v>207</v>
      </c>
      <c r="J151">
        <v>12</v>
      </c>
      <c r="K151">
        <v>12</v>
      </c>
      <c r="M151">
        <v>1</v>
      </c>
      <c r="N151">
        <f t="shared" si="4"/>
        <v>840</v>
      </c>
      <c r="P151">
        <v>252</v>
      </c>
      <c r="Q151">
        <v>252</v>
      </c>
      <c r="S151" s="43">
        <f t="shared" si="3"/>
        <v>504000</v>
      </c>
      <c r="T151" s="43">
        <v>504000</v>
      </c>
    </row>
    <row r="152" spans="5:20">
      <c r="E152" s="482">
        <v>46269</v>
      </c>
      <c r="F152" t="str">
        <f>_xlfn.XLOOKUP(G152,'Total (2)'!G:G,'Total (2)'!F:F)</f>
        <v>East 1</v>
      </c>
      <c r="G152" t="s">
        <v>39</v>
      </c>
      <c r="I152" t="s">
        <v>207</v>
      </c>
      <c r="J152">
        <v>12</v>
      </c>
      <c r="K152">
        <v>12</v>
      </c>
      <c r="M152">
        <v>1</v>
      </c>
      <c r="N152">
        <f t="shared" si="4"/>
        <v>840</v>
      </c>
      <c r="P152">
        <v>532</v>
      </c>
      <c r="Q152">
        <v>532</v>
      </c>
      <c r="S152" s="43">
        <f t="shared" si="3"/>
        <v>1064000</v>
      </c>
      <c r="T152" s="43">
        <v>1064000</v>
      </c>
    </row>
  </sheetData>
  <autoFilter ref="B3:Y47" xr:uid="{87996044-98CA-4D61-9AB3-C2EE2899AA32}"/>
  <phoneticPr fontId="2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BC73-38F9-44E4-8FE5-6331E9A61DDB}">
  <dimension ref="B1:Y97"/>
  <sheetViews>
    <sheetView topLeftCell="E1" zoomScale="71" zoomScaleNormal="70" workbookViewId="0">
      <pane xSplit="3" ySplit="3" topLeftCell="H69" activePane="bottomRight" state="frozen"/>
      <selection activeCell="E1" sqref="E1"/>
      <selection pane="topRight" activeCell="H1" sqref="H1"/>
      <selection pane="bottomLeft" activeCell="E4" sqref="E4"/>
      <selection pane="bottomRight" activeCell="F79" sqref="F79"/>
    </sheetView>
  </sheetViews>
  <sheetFormatPr defaultColWidth="9" defaultRowHeight="14.4"/>
  <cols>
    <col min="2" max="2" width="11.6640625" customWidth="1"/>
    <col min="3" max="3" width="10" customWidth="1"/>
    <col min="4" max="4" width="12" style="460" customWidth="1"/>
    <col min="5" max="5" width="14.88671875" style="482" customWidth="1"/>
    <col min="7" max="7" width="19.109375" customWidth="1"/>
    <col min="8" max="8" width="16.6640625" customWidth="1"/>
    <col min="9" max="11" width="9.109375" customWidth="1"/>
    <col min="12" max="12" width="9.109375" style="42" customWidth="1"/>
    <col min="13" max="14" width="12.109375" customWidth="1"/>
    <col min="15" max="15" width="10.33203125" customWidth="1"/>
    <col min="16" max="17" width="9.109375" customWidth="1"/>
    <col min="18" max="18" width="16.77734375" style="42" customWidth="1"/>
    <col min="19" max="19" width="15.109375" style="43" customWidth="1"/>
    <col min="20" max="20" width="17.109375" style="43" customWidth="1"/>
    <col min="21" max="21" width="14" style="43" customWidth="1"/>
  </cols>
  <sheetData>
    <row r="1" spans="2:25" ht="15" thickBot="1">
      <c r="E1" s="461" t="s">
        <v>73</v>
      </c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3"/>
      <c r="T1" s="463"/>
      <c r="U1" s="463"/>
    </row>
    <row r="2" spans="2:25" ht="15" thickBot="1">
      <c r="E2" s="464"/>
      <c r="F2" s="2"/>
      <c r="G2" s="2"/>
      <c r="H2" s="2"/>
      <c r="I2" s="2"/>
      <c r="J2" s="465" t="s">
        <v>0</v>
      </c>
      <c r="K2" s="465"/>
      <c r="L2" s="465"/>
      <c r="M2" s="2"/>
      <c r="N2" s="2"/>
      <c r="O2" s="466" t="s">
        <v>1</v>
      </c>
      <c r="P2" s="467"/>
      <c r="Q2" s="467"/>
      <c r="R2" s="468"/>
      <c r="S2" s="469" t="s">
        <v>3</v>
      </c>
      <c r="T2" s="470"/>
      <c r="U2" s="471"/>
    </row>
    <row r="3" spans="2:25" s="12" customFormat="1" ht="85.5" customHeight="1" thickBot="1">
      <c r="B3" s="145" t="s">
        <v>148</v>
      </c>
      <c r="C3" s="145" t="s">
        <v>149</v>
      </c>
      <c r="D3" s="472" t="s">
        <v>150</v>
      </c>
      <c r="E3" s="473" t="s">
        <v>150</v>
      </c>
      <c r="F3" s="474" t="s">
        <v>6</v>
      </c>
      <c r="G3" s="475" t="s">
        <v>7</v>
      </c>
      <c r="H3" s="475" t="s">
        <v>8</v>
      </c>
      <c r="I3" s="475" t="s">
        <v>9</v>
      </c>
      <c r="J3" s="476" t="s">
        <v>11</v>
      </c>
      <c r="K3" s="476" t="s">
        <v>151</v>
      </c>
      <c r="L3" s="477" t="s">
        <v>13</v>
      </c>
      <c r="M3" s="478" t="s">
        <v>152</v>
      </c>
      <c r="N3" s="478" t="s">
        <v>236</v>
      </c>
      <c r="O3" s="478" t="s">
        <v>16</v>
      </c>
      <c r="P3" s="479" t="s">
        <v>20</v>
      </c>
      <c r="Q3" s="480"/>
      <c r="R3" s="481"/>
      <c r="S3" s="479" t="s">
        <v>3</v>
      </c>
      <c r="T3" s="480"/>
      <c r="U3" s="481"/>
    </row>
    <row r="4" spans="2:25" ht="15.6">
      <c r="B4" t="s">
        <v>208</v>
      </c>
      <c r="C4" t="s">
        <v>209</v>
      </c>
      <c r="D4" s="460">
        <v>46245</v>
      </c>
      <c r="E4" s="482">
        <v>46245</v>
      </c>
      <c r="F4" t="s">
        <v>30</v>
      </c>
      <c r="G4" t="s">
        <v>50</v>
      </c>
      <c r="H4" s="749" t="s">
        <v>189</v>
      </c>
      <c r="I4" t="s">
        <v>207</v>
      </c>
      <c r="J4">
        <v>12</v>
      </c>
      <c r="K4">
        <v>12</v>
      </c>
      <c r="M4">
        <v>1</v>
      </c>
      <c r="N4">
        <f>70*12</f>
        <v>840</v>
      </c>
      <c r="P4" s="647">
        <v>41</v>
      </c>
      <c r="Q4">
        <v>41</v>
      </c>
      <c r="S4" s="43">
        <f>Q4*2000</f>
        <v>82000</v>
      </c>
      <c r="T4" s="43">
        <v>77408</v>
      </c>
      <c r="W4" s="192">
        <v>62</v>
      </c>
      <c r="Y4" s="640" t="s">
        <v>31</v>
      </c>
    </row>
    <row r="5" spans="2:25" ht="15.6">
      <c r="E5" s="482">
        <v>46245</v>
      </c>
      <c r="F5" t="s">
        <v>30</v>
      </c>
      <c r="G5" t="s">
        <v>42</v>
      </c>
      <c r="H5" s="750" t="s">
        <v>43</v>
      </c>
      <c r="I5" t="s">
        <v>205</v>
      </c>
      <c r="J5">
        <v>12</v>
      </c>
      <c r="K5">
        <v>12</v>
      </c>
      <c r="M5">
        <v>1</v>
      </c>
      <c r="N5">
        <f t="shared" ref="N5:N70" si="0">70*12</f>
        <v>840</v>
      </c>
      <c r="P5" s="647">
        <v>53</v>
      </c>
      <c r="Q5">
        <v>53</v>
      </c>
      <c r="S5" s="43">
        <f t="shared" ref="S5:S79" si="1">Q5*2000</f>
        <v>106000</v>
      </c>
      <c r="T5" s="43">
        <v>100064</v>
      </c>
      <c r="W5" s="192"/>
      <c r="Y5" s="640"/>
    </row>
    <row r="6" spans="2:25" ht="15.6">
      <c r="B6" t="s">
        <v>208</v>
      </c>
      <c r="C6" t="s">
        <v>209</v>
      </c>
      <c r="D6" s="460">
        <v>46245</v>
      </c>
      <c r="E6" s="460">
        <v>46245</v>
      </c>
      <c r="F6" t="s">
        <v>61</v>
      </c>
      <c r="G6" t="s">
        <v>193</v>
      </c>
      <c r="H6" s="749" t="s">
        <v>210</v>
      </c>
      <c r="I6" t="s">
        <v>207</v>
      </c>
      <c r="J6">
        <v>12</v>
      </c>
      <c r="K6">
        <v>12</v>
      </c>
      <c r="M6">
        <v>1</v>
      </c>
      <c r="N6">
        <f t="shared" si="0"/>
        <v>840</v>
      </c>
      <c r="P6">
        <v>60</v>
      </c>
      <c r="Q6">
        <v>60</v>
      </c>
      <c r="S6" s="43">
        <f t="shared" si="1"/>
        <v>120000</v>
      </c>
      <c r="T6" s="43">
        <v>113280</v>
      </c>
      <c r="W6" s="192">
        <v>0</v>
      </c>
      <c r="Y6" s="640" t="s">
        <v>34</v>
      </c>
    </row>
    <row r="7" spans="2:25" ht="15.6">
      <c r="B7" t="s">
        <v>208</v>
      </c>
      <c r="C7" t="s">
        <v>209</v>
      </c>
      <c r="D7" s="460">
        <v>46246</v>
      </c>
      <c r="E7" s="460">
        <v>46246</v>
      </c>
      <c r="F7" t="s">
        <v>30</v>
      </c>
      <c r="G7" t="s">
        <v>211</v>
      </c>
      <c r="H7" s="749" t="s">
        <v>200</v>
      </c>
      <c r="I7" t="s">
        <v>207</v>
      </c>
      <c r="J7">
        <v>12</v>
      </c>
      <c r="K7">
        <v>12</v>
      </c>
      <c r="M7">
        <v>1</v>
      </c>
      <c r="N7">
        <f t="shared" si="0"/>
        <v>840</v>
      </c>
      <c r="P7" s="647">
        <v>48</v>
      </c>
      <c r="Q7">
        <v>48</v>
      </c>
      <c r="S7" s="43">
        <f t="shared" si="1"/>
        <v>96000</v>
      </c>
      <c r="T7" s="43">
        <v>90624</v>
      </c>
      <c r="W7" s="192">
        <v>0</v>
      </c>
      <c r="Y7" s="640" t="s">
        <v>36</v>
      </c>
    </row>
    <row r="8" spans="2:25" ht="15.6">
      <c r="B8" t="s">
        <v>208</v>
      </c>
      <c r="C8" t="s">
        <v>209</v>
      </c>
      <c r="D8" s="460">
        <v>46246</v>
      </c>
      <c r="E8" s="460">
        <v>46246</v>
      </c>
      <c r="F8" t="s">
        <v>30</v>
      </c>
      <c r="G8" t="s">
        <v>50</v>
      </c>
      <c r="H8" s="749" t="s">
        <v>189</v>
      </c>
      <c r="I8" t="s">
        <v>33</v>
      </c>
      <c r="J8">
        <v>12</v>
      </c>
      <c r="K8">
        <v>12</v>
      </c>
      <c r="M8">
        <v>1</v>
      </c>
      <c r="N8">
        <f t="shared" si="0"/>
        <v>840</v>
      </c>
      <c r="P8" s="647">
        <v>36</v>
      </c>
      <c r="Q8">
        <v>36</v>
      </c>
      <c r="S8" s="43">
        <f t="shared" si="1"/>
        <v>72000</v>
      </c>
      <c r="T8" s="43">
        <v>67968</v>
      </c>
      <c r="W8" s="192">
        <v>72</v>
      </c>
      <c r="Y8" s="640" t="s">
        <v>38</v>
      </c>
    </row>
    <row r="9" spans="2:25" ht="15.6">
      <c r="B9" t="s">
        <v>208</v>
      </c>
      <c r="C9" t="s">
        <v>209</v>
      </c>
      <c r="D9" s="460">
        <v>46246</v>
      </c>
      <c r="E9" s="460">
        <v>46246</v>
      </c>
      <c r="F9" t="s">
        <v>61</v>
      </c>
      <c r="G9" t="s">
        <v>193</v>
      </c>
      <c r="H9" s="749" t="s">
        <v>210</v>
      </c>
      <c r="I9" t="s">
        <v>207</v>
      </c>
      <c r="J9">
        <v>12</v>
      </c>
      <c r="K9">
        <v>12</v>
      </c>
      <c r="M9">
        <v>1</v>
      </c>
      <c r="N9">
        <f t="shared" si="0"/>
        <v>840</v>
      </c>
      <c r="P9">
        <v>72</v>
      </c>
      <c r="Q9">
        <v>72</v>
      </c>
      <c r="S9" s="43">
        <f t="shared" si="1"/>
        <v>144000</v>
      </c>
      <c r="T9" s="43">
        <v>135936</v>
      </c>
      <c r="W9" s="192">
        <v>0</v>
      </c>
      <c r="Y9" s="640" t="s">
        <v>39</v>
      </c>
    </row>
    <row r="10" spans="2:25" ht="15.6">
      <c r="B10" t="s">
        <v>208</v>
      </c>
      <c r="C10" t="s">
        <v>209</v>
      </c>
      <c r="D10" s="460">
        <v>46247</v>
      </c>
      <c r="E10" s="460">
        <v>46247</v>
      </c>
      <c r="F10" t="s">
        <v>30</v>
      </c>
      <c r="G10" t="s">
        <v>276</v>
      </c>
      <c r="H10" s="749" t="s">
        <v>261</v>
      </c>
      <c r="I10" t="s">
        <v>207</v>
      </c>
      <c r="J10">
        <v>12</v>
      </c>
      <c r="K10">
        <v>12</v>
      </c>
      <c r="M10">
        <v>1</v>
      </c>
      <c r="N10">
        <f t="shared" si="0"/>
        <v>840</v>
      </c>
      <c r="P10" s="342">
        <v>62</v>
      </c>
      <c r="Q10">
        <v>62</v>
      </c>
      <c r="S10" s="43">
        <f t="shared" si="1"/>
        <v>124000</v>
      </c>
      <c r="T10" s="43">
        <v>117651</v>
      </c>
      <c r="W10" s="192">
        <v>0</v>
      </c>
      <c r="Y10" s="640" t="s">
        <v>42</v>
      </c>
    </row>
    <row r="11" spans="2:25" ht="15.6">
      <c r="B11" t="s">
        <v>208</v>
      </c>
      <c r="C11" t="s">
        <v>209</v>
      </c>
      <c r="D11" s="460">
        <v>46125</v>
      </c>
      <c r="E11" s="460">
        <v>46125</v>
      </c>
      <c r="F11" t="s">
        <v>30</v>
      </c>
      <c r="G11" t="s">
        <v>38</v>
      </c>
      <c r="H11" s="751" t="s">
        <v>255</v>
      </c>
      <c r="I11" t="s">
        <v>207</v>
      </c>
      <c r="J11">
        <v>12</v>
      </c>
      <c r="K11">
        <v>12</v>
      </c>
      <c r="M11">
        <v>1</v>
      </c>
      <c r="N11">
        <f t="shared" si="0"/>
        <v>840</v>
      </c>
      <c r="P11" s="342">
        <v>72</v>
      </c>
      <c r="Q11">
        <v>72</v>
      </c>
      <c r="S11" s="43">
        <f t="shared" si="1"/>
        <v>144000</v>
      </c>
      <c r="T11" s="43">
        <v>135936</v>
      </c>
      <c r="W11" s="192">
        <v>0</v>
      </c>
      <c r="Y11" s="640" t="s">
        <v>44</v>
      </c>
    </row>
    <row r="12" spans="2:25" ht="16.2" thickBot="1">
      <c r="B12" t="s">
        <v>208</v>
      </c>
      <c r="C12" t="s">
        <v>209</v>
      </c>
      <c r="D12" s="460">
        <v>46004</v>
      </c>
      <c r="E12" s="460">
        <v>46004</v>
      </c>
      <c r="F12" t="s">
        <v>41</v>
      </c>
      <c r="G12" t="s">
        <v>211</v>
      </c>
      <c r="H12" s="749" t="s">
        <v>200</v>
      </c>
      <c r="I12" t="s">
        <v>207</v>
      </c>
      <c r="J12">
        <v>12</v>
      </c>
      <c r="K12">
        <v>12</v>
      </c>
      <c r="M12">
        <v>1</v>
      </c>
      <c r="N12">
        <f t="shared" si="0"/>
        <v>840</v>
      </c>
      <c r="P12" s="647">
        <v>32</v>
      </c>
      <c r="Q12">
        <v>32</v>
      </c>
      <c r="S12" s="43">
        <f t="shared" si="1"/>
        <v>64000</v>
      </c>
      <c r="T12" s="43">
        <v>60416</v>
      </c>
      <c r="W12" s="192">
        <v>0</v>
      </c>
      <c r="Y12" s="640" t="s">
        <v>46</v>
      </c>
    </row>
    <row r="13" spans="2:25" ht="15.6">
      <c r="B13" t="s">
        <v>208</v>
      </c>
      <c r="C13" t="s">
        <v>209</v>
      </c>
      <c r="D13" s="460">
        <v>45882</v>
      </c>
      <c r="E13" s="460">
        <v>45882</v>
      </c>
      <c r="F13" t="s">
        <v>41</v>
      </c>
      <c r="G13" t="s">
        <v>193</v>
      </c>
      <c r="H13" s="752" t="s">
        <v>258</v>
      </c>
      <c r="I13" t="s">
        <v>207</v>
      </c>
      <c r="J13">
        <v>12</v>
      </c>
      <c r="K13">
        <v>12</v>
      </c>
      <c r="M13">
        <v>1</v>
      </c>
      <c r="N13">
        <f t="shared" si="0"/>
        <v>840</v>
      </c>
      <c r="P13">
        <v>65</v>
      </c>
      <c r="Q13">
        <v>65</v>
      </c>
      <c r="S13" s="43">
        <f t="shared" si="1"/>
        <v>130000</v>
      </c>
      <c r="T13" s="43">
        <v>122720</v>
      </c>
      <c r="W13" s="192">
        <v>0</v>
      </c>
      <c r="Y13" s="640" t="s">
        <v>47</v>
      </c>
    </row>
    <row r="14" spans="2:25" ht="15.6">
      <c r="B14" t="s">
        <v>208</v>
      </c>
      <c r="C14" t="s">
        <v>209</v>
      </c>
      <c r="D14" s="460">
        <v>45760</v>
      </c>
      <c r="E14" s="460">
        <v>45760</v>
      </c>
      <c r="F14" t="s">
        <v>61</v>
      </c>
      <c r="G14" t="s">
        <v>262</v>
      </c>
      <c r="H14" s="753" t="s">
        <v>259</v>
      </c>
      <c r="I14" t="s">
        <v>207</v>
      </c>
      <c r="J14">
        <v>12</v>
      </c>
      <c r="K14">
        <v>12</v>
      </c>
      <c r="M14">
        <v>1</v>
      </c>
      <c r="N14">
        <f t="shared" si="0"/>
        <v>840</v>
      </c>
      <c r="P14">
        <v>97</v>
      </c>
      <c r="Q14">
        <v>97</v>
      </c>
      <c r="S14" s="43">
        <f t="shared" si="1"/>
        <v>194000</v>
      </c>
      <c r="T14" s="43">
        <v>183136</v>
      </c>
      <c r="W14" s="192">
        <v>80</v>
      </c>
      <c r="Y14" s="640" t="s">
        <v>48</v>
      </c>
    </row>
    <row r="15" spans="2:25" ht="15.6">
      <c r="B15" t="s">
        <v>208</v>
      </c>
      <c r="C15" t="s">
        <v>209</v>
      </c>
      <c r="D15" s="460">
        <v>45639</v>
      </c>
      <c r="E15" s="460">
        <v>45639</v>
      </c>
      <c r="F15" t="s">
        <v>61</v>
      </c>
      <c r="G15" t="s">
        <v>263</v>
      </c>
      <c r="H15" s="753" t="s">
        <v>260</v>
      </c>
      <c r="I15" t="s">
        <v>207</v>
      </c>
      <c r="J15">
        <v>12</v>
      </c>
      <c r="K15">
        <v>12</v>
      </c>
      <c r="M15">
        <v>1</v>
      </c>
      <c r="N15">
        <f t="shared" si="0"/>
        <v>840</v>
      </c>
      <c r="P15" s="342">
        <v>70</v>
      </c>
      <c r="Q15">
        <v>70</v>
      </c>
      <c r="S15" s="43">
        <f t="shared" si="1"/>
        <v>140000</v>
      </c>
      <c r="T15" s="43">
        <v>132160</v>
      </c>
      <c r="W15" s="192">
        <v>77</v>
      </c>
      <c r="Y15" s="640" t="s">
        <v>50</v>
      </c>
    </row>
    <row r="16" spans="2:25" ht="15.6">
      <c r="B16" t="s">
        <v>208</v>
      </c>
      <c r="C16" t="s">
        <v>209</v>
      </c>
      <c r="D16" s="460">
        <v>45517</v>
      </c>
      <c r="E16" s="460">
        <v>46248</v>
      </c>
      <c r="F16" t="s">
        <v>30</v>
      </c>
      <c r="G16" t="s">
        <v>276</v>
      </c>
      <c r="H16" s="749" t="s">
        <v>254</v>
      </c>
      <c r="I16" t="s">
        <v>207</v>
      </c>
      <c r="J16">
        <v>12</v>
      </c>
      <c r="K16">
        <v>12</v>
      </c>
      <c r="M16">
        <v>1</v>
      </c>
      <c r="N16">
        <f t="shared" si="0"/>
        <v>840</v>
      </c>
      <c r="P16">
        <v>52</v>
      </c>
      <c r="Q16">
        <v>52</v>
      </c>
      <c r="S16" s="43">
        <f t="shared" si="1"/>
        <v>104000</v>
      </c>
      <c r="T16" s="43">
        <v>98157</v>
      </c>
      <c r="W16" s="192">
        <v>0</v>
      </c>
      <c r="Y16" s="640" t="s">
        <v>53</v>
      </c>
    </row>
    <row r="17" spans="2:25" ht="15.6">
      <c r="B17" t="s">
        <v>208</v>
      </c>
      <c r="C17" t="s">
        <v>209</v>
      </c>
      <c r="D17" s="460">
        <v>45395</v>
      </c>
      <c r="E17" s="482">
        <v>46248</v>
      </c>
      <c r="F17" t="s">
        <v>30</v>
      </c>
      <c r="G17" t="s">
        <v>36</v>
      </c>
      <c r="H17" s="749" t="s">
        <v>265</v>
      </c>
      <c r="I17" t="s">
        <v>207</v>
      </c>
      <c r="J17">
        <v>12</v>
      </c>
      <c r="K17">
        <v>12</v>
      </c>
      <c r="M17">
        <v>1</v>
      </c>
      <c r="N17">
        <f t="shared" si="0"/>
        <v>840</v>
      </c>
      <c r="P17">
        <v>108</v>
      </c>
      <c r="Q17">
        <v>108</v>
      </c>
      <c r="S17" s="43">
        <f t="shared" si="1"/>
        <v>216000</v>
      </c>
      <c r="T17" s="43">
        <v>203904</v>
      </c>
      <c r="W17" s="192">
        <v>0</v>
      </c>
      <c r="Y17" s="640" t="s">
        <v>55</v>
      </c>
    </row>
    <row r="18" spans="2:25" ht="15.6">
      <c r="E18" s="460">
        <v>46248</v>
      </c>
      <c r="F18" t="s">
        <v>30</v>
      </c>
      <c r="G18" t="s">
        <v>38</v>
      </c>
      <c r="H18" s="749" t="s">
        <v>255</v>
      </c>
      <c r="I18" t="s">
        <v>207</v>
      </c>
      <c r="J18">
        <v>12</v>
      </c>
      <c r="K18">
        <v>12</v>
      </c>
      <c r="M18">
        <v>1</v>
      </c>
      <c r="N18">
        <f t="shared" si="0"/>
        <v>840</v>
      </c>
      <c r="P18">
        <v>76</v>
      </c>
      <c r="Q18">
        <v>76</v>
      </c>
      <c r="S18" s="43">
        <f t="shared" si="1"/>
        <v>152000</v>
      </c>
      <c r="T18" s="43">
        <v>143488</v>
      </c>
      <c r="W18" s="192"/>
      <c r="Y18" s="743"/>
    </row>
    <row r="19" spans="2:25">
      <c r="B19" t="s">
        <v>208</v>
      </c>
      <c r="C19" t="s">
        <v>209</v>
      </c>
      <c r="D19" s="460">
        <v>45273</v>
      </c>
      <c r="E19" s="460">
        <v>46248</v>
      </c>
      <c r="F19" t="s">
        <v>41</v>
      </c>
      <c r="G19" t="s">
        <v>153</v>
      </c>
      <c r="H19" s="750" t="s">
        <v>266</v>
      </c>
      <c r="I19" t="s">
        <v>207</v>
      </c>
      <c r="J19">
        <v>12</v>
      </c>
      <c r="K19">
        <v>12</v>
      </c>
      <c r="M19">
        <v>1</v>
      </c>
      <c r="N19">
        <f t="shared" si="0"/>
        <v>840</v>
      </c>
      <c r="P19">
        <v>150</v>
      </c>
      <c r="Q19">
        <v>150</v>
      </c>
      <c r="S19" s="43">
        <f t="shared" si="1"/>
        <v>300000</v>
      </c>
      <c r="T19" s="43">
        <v>283200</v>
      </c>
      <c r="W19" s="192">
        <v>0</v>
      </c>
      <c r="Y19" s="641" t="s">
        <v>57</v>
      </c>
    </row>
    <row r="20" spans="2:25" ht="15.6">
      <c r="B20" t="s">
        <v>208</v>
      </c>
      <c r="C20" t="s">
        <v>209</v>
      </c>
      <c r="D20" s="460">
        <v>45151</v>
      </c>
      <c r="E20" s="482">
        <v>46248</v>
      </c>
      <c r="F20" t="s">
        <v>41</v>
      </c>
      <c r="G20" t="s">
        <v>47</v>
      </c>
      <c r="H20" s="749" t="s">
        <v>267</v>
      </c>
      <c r="I20" t="s">
        <v>207</v>
      </c>
      <c r="J20">
        <v>12</v>
      </c>
      <c r="K20">
        <v>12</v>
      </c>
      <c r="M20">
        <v>1</v>
      </c>
      <c r="N20">
        <f t="shared" si="0"/>
        <v>840</v>
      </c>
      <c r="P20">
        <v>85</v>
      </c>
      <c r="Q20">
        <v>85</v>
      </c>
      <c r="S20" s="43">
        <f t="shared" si="1"/>
        <v>170000</v>
      </c>
      <c r="T20" s="43">
        <v>160480</v>
      </c>
      <c r="W20" s="192">
        <v>0</v>
      </c>
      <c r="Y20" s="640" t="s">
        <v>59</v>
      </c>
    </row>
    <row r="21" spans="2:25" ht="15.6">
      <c r="B21" t="s">
        <v>208</v>
      </c>
      <c r="C21" t="s">
        <v>209</v>
      </c>
      <c r="D21" s="460">
        <v>45029</v>
      </c>
      <c r="E21" s="460">
        <v>46248</v>
      </c>
      <c r="F21" t="s">
        <v>30</v>
      </c>
      <c r="G21" t="s">
        <v>48</v>
      </c>
      <c r="H21" s="749" t="s">
        <v>256</v>
      </c>
      <c r="I21" t="s">
        <v>207</v>
      </c>
      <c r="J21">
        <v>12</v>
      </c>
      <c r="K21">
        <v>12</v>
      </c>
      <c r="M21">
        <v>1</v>
      </c>
      <c r="N21">
        <f t="shared" si="0"/>
        <v>840</v>
      </c>
      <c r="P21">
        <v>72</v>
      </c>
      <c r="Q21">
        <v>72</v>
      </c>
      <c r="S21" s="43">
        <f t="shared" si="1"/>
        <v>144000</v>
      </c>
      <c r="T21" s="43">
        <v>135936</v>
      </c>
      <c r="W21" s="192">
        <v>0</v>
      </c>
      <c r="Y21" s="640" t="s">
        <v>62</v>
      </c>
    </row>
    <row r="22" spans="2:25" ht="16.2" thickBot="1">
      <c r="B22" t="s">
        <v>208</v>
      </c>
      <c r="C22" t="s">
        <v>209</v>
      </c>
      <c r="D22" s="460">
        <v>44908</v>
      </c>
      <c r="E22" s="482">
        <v>46248</v>
      </c>
      <c r="F22" t="s">
        <v>30</v>
      </c>
      <c r="G22" t="s">
        <v>50</v>
      </c>
      <c r="H22" s="749" t="s">
        <v>257</v>
      </c>
      <c r="I22" t="s">
        <v>207</v>
      </c>
      <c r="J22">
        <v>12</v>
      </c>
      <c r="K22">
        <v>12</v>
      </c>
      <c r="M22">
        <v>1</v>
      </c>
      <c r="N22">
        <f t="shared" si="0"/>
        <v>840</v>
      </c>
      <c r="P22">
        <v>78</v>
      </c>
      <c r="Q22">
        <v>78</v>
      </c>
      <c r="S22" s="43">
        <f t="shared" si="1"/>
        <v>156000</v>
      </c>
      <c r="T22" s="43">
        <v>147264</v>
      </c>
      <c r="W22" s="192">
        <v>0</v>
      </c>
      <c r="Y22" s="640" t="s">
        <v>64</v>
      </c>
    </row>
    <row r="23" spans="2:25" ht="15.6">
      <c r="B23" t="s">
        <v>208</v>
      </c>
      <c r="C23" t="s">
        <v>209</v>
      </c>
      <c r="D23" s="460">
        <v>44786</v>
      </c>
      <c r="E23" s="460">
        <v>46248</v>
      </c>
      <c r="F23" t="s">
        <v>61</v>
      </c>
      <c r="G23" t="s">
        <v>193</v>
      </c>
      <c r="H23" s="752" t="s">
        <v>258</v>
      </c>
      <c r="I23" t="s">
        <v>207</v>
      </c>
      <c r="J23">
        <v>12</v>
      </c>
      <c r="K23">
        <v>12</v>
      </c>
      <c r="M23">
        <v>1</v>
      </c>
      <c r="N23">
        <f t="shared" si="0"/>
        <v>840</v>
      </c>
      <c r="P23">
        <v>95</v>
      </c>
      <c r="Q23">
        <v>95</v>
      </c>
      <c r="S23" s="43">
        <f t="shared" si="1"/>
        <v>190000</v>
      </c>
      <c r="T23" s="43">
        <v>179360</v>
      </c>
      <c r="W23" s="192">
        <v>70</v>
      </c>
      <c r="Y23" s="640" t="s">
        <v>263</v>
      </c>
    </row>
    <row r="24" spans="2:25" ht="15.6">
      <c r="E24" s="482">
        <v>46248</v>
      </c>
      <c r="F24" t="s">
        <v>61</v>
      </c>
      <c r="G24" t="s">
        <v>262</v>
      </c>
      <c r="H24" s="753" t="s">
        <v>259</v>
      </c>
      <c r="I24" t="s">
        <v>207</v>
      </c>
      <c r="J24">
        <v>12</v>
      </c>
      <c r="K24">
        <v>12</v>
      </c>
      <c r="M24">
        <v>1</v>
      </c>
      <c r="N24">
        <f t="shared" si="0"/>
        <v>840</v>
      </c>
      <c r="P24">
        <v>112</v>
      </c>
      <c r="Q24">
        <v>112</v>
      </c>
      <c r="S24" s="43">
        <f t="shared" si="1"/>
        <v>224000</v>
      </c>
      <c r="T24" s="43">
        <v>211456</v>
      </c>
      <c r="W24" s="192">
        <v>197</v>
      </c>
      <c r="Y24" s="640" t="s">
        <v>193</v>
      </c>
    </row>
    <row r="25" spans="2:25" ht="15.6">
      <c r="E25" s="460">
        <v>46248</v>
      </c>
      <c r="F25" t="s">
        <v>61</v>
      </c>
      <c r="G25" t="s">
        <v>263</v>
      </c>
      <c r="H25" s="753" t="s">
        <v>260</v>
      </c>
      <c r="I25" t="s">
        <v>207</v>
      </c>
      <c r="J25">
        <v>12</v>
      </c>
      <c r="K25">
        <v>12</v>
      </c>
      <c r="M25">
        <v>1</v>
      </c>
      <c r="N25">
        <f t="shared" si="0"/>
        <v>840</v>
      </c>
      <c r="P25">
        <v>151</v>
      </c>
      <c r="Q25">
        <v>151</v>
      </c>
      <c r="S25" s="43">
        <f t="shared" si="1"/>
        <v>302000</v>
      </c>
      <c r="T25" s="43">
        <v>285088</v>
      </c>
      <c r="W25" s="192">
        <v>0</v>
      </c>
      <c r="Y25" s="640" t="s">
        <v>69</v>
      </c>
    </row>
    <row r="26" spans="2:25">
      <c r="E26" s="482">
        <v>46248</v>
      </c>
      <c r="F26" t="s">
        <v>61</v>
      </c>
      <c r="G26" t="s">
        <v>69</v>
      </c>
      <c r="H26" s="753" t="s">
        <v>268</v>
      </c>
      <c r="I26" t="s">
        <v>207</v>
      </c>
      <c r="J26">
        <v>12</v>
      </c>
      <c r="K26">
        <v>12</v>
      </c>
      <c r="M26">
        <v>1</v>
      </c>
      <c r="N26">
        <f t="shared" si="0"/>
        <v>840</v>
      </c>
      <c r="P26">
        <v>90</v>
      </c>
      <c r="Q26">
        <v>90</v>
      </c>
      <c r="R26" s="666"/>
      <c r="S26" s="43">
        <f t="shared" si="1"/>
        <v>180000</v>
      </c>
      <c r="T26" s="43">
        <v>169920</v>
      </c>
    </row>
    <row r="27" spans="2:25">
      <c r="E27" s="482">
        <v>46249</v>
      </c>
      <c r="F27" t="s">
        <v>30</v>
      </c>
      <c r="G27" t="s">
        <v>276</v>
      </c>
      <c r="H27" s="749" t="s">
        <v>261</v>
      </c>
      <c r="I27" t="s">
        <v>205</v>
      </c>
      <c r="J27">
        <v>12</v>
      </c>
      <c r="K27">
        <v>12</v>
      </c>
      <c r="M27">
        <v>1</v>
      </c>
      <c r="N27">
        <f t="shared" si="0"/>
        <v>840</v>
      </c>
      <c r="P27">
        <v>46</v>
      </c>
      <c r="Q27">
        <v>43</v>
      </c>
      <c r="S27" s="43">
        <f t="shared" si="1"/>
        <v>86000</v>
      </c>
      <c r="T27" s="43">
        <v>80939</v>
      </c>
    </row>
    <row r="28" spans="2:25">
      <c r="E28" s="482">
        <v>46249</v>
      </c>
      <c r="F28" t="s">
        <v>30</v>
      </c>
      <c r="G28" t="s">
        <v>36</v>
      </c>
      <c r="H28" s="750" t="s">
        <v>272</v>
      </c>
      <c r="I28" t="s">
        <v>205</v>
      </c>
      <c r="J28">
        <v>12</v>
      </c>
      <c r="K28">
        <v>12</v>
      </c>
      <c r="M28">
        <v>1</v>
      </c>
      <c r="N28">
        <f t="shared" si="0"/>
        <v>840</v>
      </c>
      <c r="P28">
        <v>138</v>
      </c>
      <c r="Q28">
        <v>138</v>
      </c>
      <c r="S28" s="43">
        <f t="shared" si="1"/>
        <v>276000</v>
      </c>
      <c r="T28" s="43">
        <v>260544</v>
      </c>
    </row>
    <row r="29" spans="2:25">
      <c r="E29" s="482">
        <v>46249</v>
      </c>
      <c r="F29" t="s">
        <v>30</v>
      </c>
      <c r="G29" t="s">
        <v>38</v>
      </c>
      <c r="H29" s="750" t="s">
        <v>255</v>
      </c>
      <c r="I29" t="s">
        <v>207</v>
      </c>
      <c r="J29">
        <v>12</v>
      </c>
      <c r="K29">
        <v>12</v>
      </c>
      <c r="M29">
        <v>1</v>
      </c>
      <c r="N29">
        <f t="shared" si="0"/>
        <v>840</v>
      </c>
      <c r="P29">
        <v>84</v>
      </c>
      <c r="Q29">
        <v>84</v>
      </c>
      <c r="S29" s="43">
        <f t="shared" si="1"/>
        <v>168000</v>
      </c>
      <c r="T29" s="43">
        <v>158592</v>
      </c>
    </row>
    <row r="30" spans="2:25">
      <c r="E30" s="482">
        <v>46249</v>
      </c>
      <c r="F30" t="s">
        <v>41</v>
      </c>
      <c r="G30" t="s">
        <v>153</v>
      </c>
      <c r="H30" s="749" t="s">
        <v>266</v>
      </c>
      <c r="I30" t="s">
        <v>205</v>
      </c>
      <c r="J30">
        <v>12</v>
      </c>
      <c r="K30">
        <v>12</v>
      </c>
      <c r="M30">
        <v>1</v>
      </c>
      <c r="N30">
        <f t="shared" si="0"/>
        <v>840</v>
      </c>
      <c r="P30">
        <v>120</v>
      </c>
      <c r="Q30">
        <v>120</v>
      </c>
      <c r="S30" s="43">
        <f t="shared" si="1"/>
        <v>240000</v>
      </c>
      <c r="T30" s="43">
        <v>226560</v>
      </c>
    </row>
    <row r="31" spans="2:25">
      <c r="E31" s="482">
        <v>46249</v>
      </c>
      <c r="F31" t="s">
        <v>41</v>
      </c>
      <c r="G31" t="s">
        <v>47</v>
      </c>
      <c r="H31" s="749" t="s">
        <v>267</v>
      </c>
      <c r="I31" t="s">
        <v>207</v>
      </c>
      <c r="J31">
        <v>12</v>
      </c>
      <c r="K31">
        <v>12</v>
      </c>
      <c r="M31">
        <v>1</v>
      </c>
      <c r="N31">
        <f t="shared" si="0"/>
        <v>840</v>
      </c>
      <c r="P31">
        <v>90</v>
      </c>
      <c r="Q31">
        <v>90</v>
      </c>
      <c r="S31" s="43">
        <f t="shared" si="1"/>
        <v>180000</v>
      </c>
      <c r="T31" s="43">
        <v>169920</v>
      </c>
    </row>
    <row r="32" spans="2:25">
      <c r="E32" s="482">
        <v>46249</v>
      </c>
      <c r="F32" t="s">
        <v>41</v>
      </c>
      <c r="G32" t="s">
        <v>48</v>
      </c>
      <c r="H32" s="749" t="s">
        <v>256</v>
      </c>
      <c r="I32" t="s">
        <v>205</v>
      </c>
      <c r="J32">
        <v>12</v>
      </c>
      <c r="K32">
        <v>12</v>
      </c>
      <c r="M32">
        <v>1</v>
      </c>
      <c r="N32">
        <f t="shared" si="0"/>
        <v>840</v>
      </c>
      <c r="P32">
        <v>138</v>
      </c>
      <c r="Q32">
        <v>138</v>
      </c>
      <c r="S32" s="43">
        <f t="shared" si="1"/>
        <v>276000</v>
      </c>
      <c r="T32" s="43">
        <v>260544</v>
      </c>
    </row>
    <row r="33" spans="5:20" ht="15" thickBot="1">
      <c r="E33" s="482">
        <v>46249</v>
      </c>
      <c r="F33" t="s">
        <v>41</v>
      </c>
      <c r="G33" t="s">
        <v>50</v>
      </c>
      <c r="H33" s="749" t="s">
        <v>257</v>
      </c>
      <c r="I33" t="s">
        <v>207</v>
      </c>
      <c r="J33">
        <v>12</v>
      </c>
      <c r="K33">
        <v>12</v>
      </c>
      <c r="M33">
        <v>1</v>
      </c>
      <c r="N33">
        <f t="shared" si="0"/>
        <v>840</v>
      </c>
      <c r="P33">
        <v>62</v>
      </c>
      <c r="Q33">
        <v>62</v>
      </c>
      <c r="S33" s="43">
        <f t="shared" si="1"/>
        <v>124000</v>
      </c>
      <c r="T33" s="43">
        <v>117056</v>
      </c>
    </row>
    <row r="34" spans="5:20">
      <c r="E34" s="482">
        <v>46249</v>
      </c>
      <c r="F34" t="s">
        <v>61</v>
      </c>
      <c r="G34" t="s">
        <v>193</v>
      </c>
      <c r="H34" s="752" t="s">
        <v>258</v>
      </c>
      <c r="I34" t="s">
        <v>205</v>
      </c>
      <c r="J34">
        <v>12</v>
      </c>
      <c r="K34">
        <v>12</v>
      </c>
      <c r="M34">
        <v>1</v>
      </c>
      <c r="N34">
        <f t="shared" si="0"/>
        <v>840</v>
      </c>
      <c r="P34">
        <v>110</v>
      </c>
      <c r="Q34">
        <v>110</v>
      </c>
      <c r="S34" s="43">
        <f t="shared" si="1"/>
        <v>220000</v>
      </c>
      <c r="T34" s="43">
        <v>207680</v>
      </c>
    </row>
    <row r="35" spans="5:20">
      <c r="E35" s="482">
        <v>46249</v>
      </c>
      <c r="F35" t="s">
        <v>61</v>
      </c>
      <c r="G35" t="s">
        <v>262</v>
      </c>
      <c r="H35" s="753" t="s">
        <v>259</v>
      </c>
      <c r="I35" t="s">
        <v>207</v>
      </c>
      <c r="J35">
        <v>12</v>
      </c>
      <c r="K35">
        <v>12</v>
      </c>
      <c r="M35">
        <v>1</v>
      </c>
      <c r="N35">
        <f t="shared" si="0"/>
        <v>840</v>
      </c>
      <c r="P35">
        <v>126</v>
      </c>
      <c r="Q35">
        <v>126</v>
      </c>
      <c r="S35" s="43">
        <f t="shared" si="1"/>
        <v>252000</v>
      </c>
      <c r="T35" s="43">
        <v>237888</v>
      </c>
    </row>
    <row r="36" spans="5:20">
      <c r="E36" s="482">
        <v>46249</v>
      </c>
      <c r="F36" t="s">
        <v>61</v>
      </c>
      <c r="G36" t="s">
        <v>263</v>
      </c>
      <c r="H36" s="753" t="s">
        <v>260</v>
      </c>
      <c r="I36" t="s">
        <v>205</v>
      </c>
      <c r="J36">
        <v>12</v>
      </c>
      <c r="K36">
        <v>12</v>
      </c>
      <c r="M36">
        <v>1</v>
      </c>
      <c r="N36">
        <f t="shared" si="0"/>
        <v>840</v>
      </c>
      <c r="P36">
        <v>100</v>
      </c>
      <c r="Q36">
        <v>100</v>
      </c>
      <c r="S36" s="43">
        <f t="shared" si="1"/>
        <v>200000</v>
      </c>
      <c r="T36" s="43">
        <v>188800</v>
      </c>
    </row>
    <row r="37" spans="5:20">
      <c r="E37" s="482">
        <v>46249</v>
      </c>
      <c r="F37" t="s">
        <v>61</v>
      </c>
      <c r="G37" t="s">
        <v>69</v>
      </c>
      <c r="H37" s="753" t="s">
        <v>268</v>
      </c>
      <c r="I37" t="s">
        <v>207</v>
      </c>
      <c r="J37">
        <v>12</v>
      </c>
      <c r="K37">
        <v>12</v>
      </c>
      <c r="M37">
        <v>1</v>
      </c>
      <c r="N37">
        <f t="shared" si="0"/>
        <v>840</v>
      </c>
      <c r="P37">
        <v>108</v>
      </c>
      <c r="Q37">
        <v>108</v>
      </c>
      <c r="S37" s="43">
        <f t="shared" si="1"/>
        <v>216000</v>
      </c>
      <c r="T37" s="43">
        <v>203904</v>
      </c>
    </row>
    <row r="38" spans="5:20">
      <c r="E38" s="482">
        <v>46251</v>
      </c>
      <c r="F38" t="s">
        <v>30</v>
      </c>
      <c r="G38" t="s">
        <v>38</v>
      </c>
      <c r="H38" t="s">
        <v>255</v>
      </c>
      <c r="I38" t="s">
        <v>207</v>
      </c>
      <c r="J38">
        <v>12</v>
      </c>
      <c r="K38">
        <v>12</v>
      </c>
      <c r="M38">
        <v>1</v>
      </c>
      <c r="N38">
        <f t="shared" si="0"/>
        <v>840</v>
      </c>
      <c r="P38">
        <v>102</v>
      </c>
      <c r="Q38">
        <v>102</v>
      </c>
      <c r="S38" s="43">
        <f t="shared" si="1"/>
        <v>204000</v>
      </c>
      <c r="T38" s="43">
        <v>192576</v>
      </c>
    </row>
    <row r="39" spans="5:20">
      <c r="E39" s="482">
        <v>46251</v>
      </c>
      <c r="F39" t="s">
        <v>30</v>
      </c>
      <c r="G39" t="s">
        <v>39</v>
      </c>
      <c r="H39" t="s">
        <v>273</v>
      </c>
      <c r="I39" t="s">
        <v>205</v>
      </c>
      <c r="J39">
        <v>12</v>
      </c>
      <c r="K39">
        <v>12</v>
      </c>
      <c r="M39">
        <v>1</v>
      </c>
      <c r="N39">
        <f t="shared" si="0"/>
        <v>840</v>
      </c>
      <c r="P39">
        <v>72</v>
      </c>
      <c r="Q39">
        <v>72</v>
      </c>
      <c r="S39" s="43">
        <f t="shared" si="1"/>
        <v>144000</v>
      </c>
      <c r="T39" s="43">
        <v>135936</v>
      </c>
    </row>
    <row r="40" spans="5:20">
      <c r="E40" s="482">
        <v>46251</v>
      </c>
      <c r="F40" t="s">
        <v>41</v>
      </c>
      <c r="G40" t="s">
        <v>153</v>
      </c>
      <c r="H40" t="s">
        <v>266</v>
      </c>
      <c r="I40" t="s">
        <v>207</v>
      </c>
      <c r="J40">
        <v>12</v>
      </c>
      <c r="K40">
        <v>12</v>
      </c>
      <c r="M40">
        <v>1</v>
      </c>
      <c r="N40">
        <f t="shared" si="0"/>
        <v>840</v>
      </c>
      <c r="P40">
        <v>168</v>
      </c>
      <c r="Q40">
        <v>168</v>
      </c>
      <c r="S40" s="43">
        <f t="shared" si="1"/>
        <v>336000</v>
      </c>
      <c r="T40" s="43">
        <v>317184</v>
      </c>
    </row>
    <row r="41" spans="5:20">
      <c r="E41" s="482">
        <v>46251</v>
      </c>
      <c r="F41" t="s">
        <v>41</v>
      </c>
      <c r="G41" t="s">
        <v>47</v>
      </c>
      <c r="H41" t="s">
        <v>267</v>
      </c>
      <c r="I41" t="s">
        <v>205</v>
      </c>
      <c r="J41">
        <v>12</v>
      </c>
      <c r="K41">
        <v>12</v>
      </c>
      <c r="M41">
        <v>1</v>
      </c>
      <c r="N41">
        <f t="shared" si="0"/>
        <v>840</v>
      </c>
      <c r="P41">
        <v>227</v>
      </c>
      <c r="Q41">
        <v>227</v>
      </c>
      <c r="S41" s="43">
        <f t="shared" si="1"/>
        <v>454000</v>
      </c>
      <c r="T41" s="43">
        <v>428576</v>
      </c>
    </row>
    <row r="42" spans="5:20">
      <c r="E42" s="482">
        <v>46251</v>
      </c>
      <c r="F42" t="s">
        <v>41</v>
      </c>
      <c r="G42" t="s">
        <v>48</v>
      </c>
      <c r="H42" t="s">
        <v>256</v>
      </c>
      <c r="I42" t="s">
        <v>207</v>
      </c>
      <c r="J42">
        <v>12</v>
      </c>
      <c r="K42">
        <v>12</v>
      </c>
      <c r="M42">
        <v>1</v>
      </c>
      <c r="N42">
        <f t="shared" si="0"/>
        <v>840</v>
      </c>
      <c r="P42">
        <v>60</v>
      </c>
      <c r="Q42">
        <v>60</v>
      </c>
      <c r="S42" s="43">
        <f t="shared" si="1"/>
        <v>120000</v>
      </c>
      <c r="T42" s="43">
        <v>113280</v>
      </c>
    </row>
    <row r="43" spans="5:20">
      <c r="E43" s="482">
        <v>46251</v>
      </c>
      <c r="F43" t="s">
        <v>41</v>
      </c>
      <c r="G43" t="s">
        <v>50</v>
      </c>
      <c r="H43" t="s">
        <v>257</v>
      </c>
      <c r="I43" t="s">
        <v>205</v>
      </c>
      <c r="J43">
        <v>12</v>
      </c>
      <c r="K43">
        <v>12</v>
      </c>
      <c r="M43">
        <v>1</v>
      </c>
      <c r="N43">
        <f t="shared" si="0"/>
        <v>840</v>
      </c>
      <c r="P43">
        <v>90</v>
      </c>
      <c r="Q43">
        <v>90</v>
      </c>
      <c r="S43" s="43">
        <f t="shared" si="1"/>
        <v>180000</v>
      </c>
      <c r="T43" s="43">
        <v>169920</v>
      </c>
    </row>
    <row r="44" spans="5:20">
      <c r="E44" s="482">
        <v>46251</v>
      </c>
      <c r="F44" t="s">
        <v>61</v>
      </c>
      <c r="G44" t="s">
        <v>193</v>
      </c>
      <c r="H44" t="s">
        <v>258</v>
      </c>
      <c r="I44" t="s">
        <v>207</v>
      </c>
      <c r="J44">
        <v>12</v>
      </c>
      <c r="K44">
        <v>12</v>
      </c>
      <c r="M44">
        <v>1</v>
      </c>
      <c r="N44">
        <f t="shared" si="0"/>
        <v>840</v>
      </c>
      <c r="P44">
        <v>80</v>
      </c>
      <c r="Q44">
        <v>80</v>
      </c>
      <c r="S44" s="43">
        <f t="shared" si="1"/>
        <v>160000</v>
      </c>
      <c r="T44" s="43">
        <v>151040</v>
      </c>
    </row>
    <row r="45" spans="5:20">
      <c r="E45" s="482">
        <v>46251</v>
      </c>
      <c r="F45" t="s">
        <v>61</v>
      </c>
      <c r="G45" t="s">
        <v>262</v>
      </c>
      <c r="H45" t="s">
        <v>259</v>
      </c>
      <c r="I45" t="s">
        <v>205</v>
      </c>
      <c r="J45">
        <v>12</v>
      </c>
      <c r="K45">
        <v>12</v>
      </c>
      <c r="M45">
        <v>1</v>
      </c>
      <c r="N45">
        <f t="shared" si="0"/>
        <v>840</v>
      </c>
      <c r="P45">
        <v>45</v>
      </c>
      <c r="Q45">
        <v>45</v>
      </c>
      <c r="S45" s="43">
        <f t="shared" si="1"/>
        <v>90000</v>
      </c>
      <c r="T45" s="43">
        <v>84960</v>
      </c>
    </row>
    <row r="46" spans="5:20">
      <c r="E46" s="482">
        <v>46251</v>
      </c>
      <c r="F46" t="s">
        <v>61</v>
      </c>
      <c r="G46" t="s">
        <v>69</v>
      </c>
      <c r="H46" t="s">
        <v>268</v>
      </c>
      <c r="I46" t="s">
        <v>205</v>
      </c>
      <c r="J46">
        <v>12</v>
      </c>
      <c r="K46">
        <v>12</v>
      </c>
      <c r="M46">
        <v>1</v>
      </c>
      <c r="N46">
        <f t="shared" si="0"/>
        <v>840</v>
      </c>
      <c r="P46">
        <v>252</v>
      </c>
      <c r="Q46">
        <v>252</v>
      </c>
      <c r="S46" s="43">
        <f t="shared" si="1"/>
        <v>504000</v>
      </c>
      <c r="T46" s="43">
        <v>475776</v>
      </c>
    </row>
    <row r="47" spans="5:20">
      <c r="E47" s="482">
        <v>46251</v>
      </c>
      <c r="F47" t="s">
        <v>61</v>
      </c>
      <c r="G47" t="s">
        <v>274</v>
      </c>
      <c r="H47" t="s">
        <v>275</v>
      </c>
      <c r="I47" t="s">
        <v>207</v>
      </c>
      <c r="J47">
        <v>12</v>
      </c>
      <c r="K47">
        <v>12</v>
      </c>
      <c r="M47">
        <v>1</v>
      </c>
      <c r="N47">
        <f t="shared" si="0"/>
        <v>840</v>
      </c>
      <c r="P47">
        <v>114</v>
      </c>
      <c r="Q47">
        <v>114</v>
      </c>
      <c r="S47" s="43">
        <f t="shared" si="1"/>
        <v>228000</v>
      </c>
      <c r="T47" s="43">
        <v>215232</v>
      </c>
    </row>
    <row r="48" spans="5:20">
      <c r="E48" s="482">
        <v>46191</v>
      </c>
      <c r="F48" s="757" t="s">
        <v>30</v>
      </c>
      <c r="G48" s="757" t="s">
        <v>36</v>
      </c>
      <c r="I48" t="s">
        <v>207</v>
      </c>
      <c r="J48">
        <v>12</v>
      </c>
      <c r="K48">
        <v>12</v>
      </c>
      <c r="M48">
        <v>1</v>
      </c>
      <c r="N48">
        <f t="shared" si="0"/>
        <v>840</v>
      </c>
      <c r="P48">
        <v>246</v>
      </c>
      <c r="Q48">
        <v>246</v>
      </c>
      <c r="S48" s="43">
        <f t="shared" si="1"/>
        <v>492000</v>
      </c>
      <c r="T48" s="43">
        <v>464448</v>
      </c>
    </row>
    <row r="49" spans="5:20">
      <c r="E49" s="482">
        <v>46191</v>
      </c>
      <c r="F49" s="757" t="s">
        <v>30</v>
      </c>
      <c r="G49" s="757" t="s">
        <v>38</v>
      </c>
      <c r="I49" t="s">
        <v>207</v>
      </c>
      <c r="J49">
        <v>12</v>
      </c>
      <c r="K49">
        <v>12</v>
      </c>
      <c r="M49">
        <v>1</v>
      </c>
      <c r="N49">
        <f t="shared" si="0"/>
        <v>840</v>
      </c>
      <c r="P49">
        <v>78</v>
      </c>
      <c r="Q49">
        <v>78</v>
      </c>
      <c r="S49" s="43">
        <f t="shared" si="1"/>
        <v>156000</v>
      </c>
      <c r="T49" s="43">
        <v>147264</v>
      </c>
    </row>
    <row r="50" spans="5:20">
      <c r="E50" s="482">
        <v>46191</v>
      </c>
      <c r="F50" s="757" t="s">
        <v>30</v>
      </c>
      <c r="G50" s="757" t="s">
        <v>39</v>
      </c>
      <c r="I50" t="s">
        <v>207</v>
      </c>
      <c r="J50">
        <v>12</v>
      </c>
      <c r="K50">
        <v>12</v>
      </c>
      <c r="M50">
        <v>1</v>
      </c>
      <c r="N50">
        <f t="shared" si="0"/>
        <v>840</v>
      </c>
      <c r="P50">
        <v>47</v>
      </c>
      <c r="Q50">
        <v>47</v>
      </c>
      <c r="S50" s="43">
        <f t="shared" si="1"/>
        <v>94000</v>
      </c>
      <c r="T50" s="43">
        <v>88736</v>
      </c>
    </row>
    <row r="51" spans="5:20">
      <c r="E51" s="482">
        <v>46191</v>
      </c>
      <c r="F51" s="757" t="s">
        <v>41</v>
      </c>
      <c r="G51" s="757" t="s">
        <v>153</v>
      </c>
      <c r="I51" t="s">
        <v>207</v>
      </c>
      <c r="J51">
        <v>12</v>
      </c>
      <c r="K51">
        <v>12</v>
      </c>
      <c r="M51">
        <v>1</v>
      </c>
      <c r="N51">
        <f t="shared" si="0"/>
        <v>840</v>
      </c>
      <c r="P51">
        <v>87</v>
      </c>
      <c r="Q51">
        <v>87</v>
      </c>
      <c r="S51" s="43">
        <f t="shared" si="1"/>
        <v>174000</v>
      </c>
      <c r="T51" s="43">
        <v>164256</v>
      </c>
    </row>
    <row r="52" spans="5:20">
      <c r="E52" s="482">
        <v>46191</v>
      </c>
      <c r="F52" s="757" t="s">
        <v>41</v>
      </c>
      <c r="G52" s="757" t="s">
        <v>47</v>
      </c>
      <c r="I52" t="s">
        <v>207</v>
      </c>
      <c r="J52">
        <v>12</v>
      </c>
      <c r="K52">
        <v>12</v>
      </c>
      <c r="M52">
        <v>1</v>
      </c>
      <c r="N52">
        <f t="shared" si="0"/>
        <v>840</v>
      </c>
      <c r="P52">
        <v>75</v>
      </c>
      <c r="Q52">
        <v>75</v>
      </c>
      <c r="S52" s="43">
        <f t="shared" si="1"/>
        <v>150000</v>
      </c>
      <c r="T52" s="43">
        <v>141600</v>
      </c>
    </row>
    <row r="53" spans="5:20">
      <c r="E53" s="482">
        <v>46191</v>
      </c>
      <c r="F53" s="757" t="s">
        <v>41</v>
      </c>
      <c r="G53" s="757" t="s">
        <v>211</v>
      </c>
      <c r="I53" t="s">
        <v>207</v>
      </c>
      <c r="J53">
        <v>12</v>
      </c>
      <c r="K53">
        <v>12</v>
      </c>
      <c r="M53">
        <v>1</v>
      </c>
      <c r="N53">
        <f t="shared" si="0"/>
        <v>840</v>
      </c>
      <c r="P53">
        <v>72</v>
      </c>
      <c r="Q53">
        <v>72</v>
      </c>
      <c r="S53" s="43">
        <f t="shared" si="1"/>
        <v>144000</v>
      </c>
      <c r="T53" s="43">
        <v>135936</v>
      </c>
    </row>
    <row r="54" spans="5:20">
      <c r="E54" s="482">
        <v>46191</v>
      </c>
      <c r="F54" s="757" t="s">
        <v>41</v>
      </c>
      <c r="G54" s="757" t="s">
        <v>50</v>
      </c>
      <c r="I54" t="s">
        <v>207</v>
      </c>
      <c r="J54">
        <v>12</v>
      </c>
      <c r="K54">
        <v>12</v>
      </c>
      <c r="M54">
        <v>1</v>
      </c>
      <c r="N54">
        <f t="shared" si="0"/>
        <v>840</v>
      </c>
      <c r="P54">
        <v>66</v>
      </c>
      <c r="Q54">
        <v>66</v>
      </c>
      <c r="S54" s="43">
        <f t="shared" si="1"/>
        <v>132000</v>
      </c>
      <c r="T54" s="43">
        <v>124608</v>
      </c>
    </row>
    <row r="55" spans="5:20">
      <c r="E55" s="482">
        <v>46191</v>
      </c>
      <c r="F55" s="757" t="s">
        <v>61</v>
      </c>
      <c r="G55" s="757" t="s">
        <v>193</v>
      </c>
      <c r="I55" t="s">
        <v>207</v>
      </c>
      <c r="J55">
        <v>12</v>
      </c>
      <c r="K55">
        <v>12</v>
      </c>
      <c r="M55">
        <v>1</v>
      </c>
      <c r="N55">
        <f t="shared" si="0"/>
        <v>840</v>
      </c>
      <c r="P55">
        <v>70</v>
      </c>
      <c r="Q55">
        <v>70</v>
      </c>
      <c r="S55" s="43">
        <f t="shared" si="1"/>
        <v>140000</v>
      </c>
      <c r="T55" s="43">
        <v>132160</v>
      </c>
    </row>
    <row r="56" spans="5:20">
      <c r="E56" s="482">
        <v>46191</v>
      </c>
      <c r="F56" s="757" t="s">
        <v>61</v>
      </c>
      <c r="G56" s="757" t="s">
        <v>262</v>
      </c>
      <c r="I56" t="s">
        <v>207</v>
      </c>
      <c r="J56">
        <v>12</v>
      </c>
      <c r="K56">
        <v>12</v>
      </c>
      <c r="M56">
        <v>1</v>
      </c>
      <c r="N56">
        <f t="shared" si="0"/>
        <v>840</v>
      </c>
      <c r="P56">
        <v>44</v>
      </c>
      <c r="Q56">
        <v>44</v>
      </c>
      <c r="S56" s="43">
        <f t="shared" si="1"/>
        <v>88000</v>
      </c>
      <c r="T56" s="43">
        <v>83072</v>
      </c>
    </row>
    <row r="57" spans="5:20">
      <c r="E57" s="482">
        <v>46191</v>
      </c>
      <c r="F57" s="757" t="s">
        <v>61</v>
      </c>
      <c r="G57" s="757" t="s">
        <v>263</v>
      </c>
      <c r="I57" t="s">
        <v>207</v>
      </c>
      <c r="J57">
        <v>12</v>
      </c>
      <c r="K57">
        <v>12</v>
      </c>
      <c r="M57">
        <v>1</v>
      </c>
      <c r="N57">
        <f t="shared" si="0"/>
        <v>840</v>
      </c>
      <c r="P57">
        <v>70</v>
      </c>
      <c r="Q57">
        <v>70</v>
      </c>
      <c r="S57" s="43">
        <f t="shared" si="1"/>
        <v>140000</v>
      </c>
      <c r="T57" s="43">
        <v>132160</v>
      </c>
    </row>
    <row r="58" spans="5:20">
      <c r="E58" s="482">
        <v>46191</v>
      </c>
      <c r="F58" s="757" t="s">
        <v>61</v>
      </c>
      <c r="G58" s="757" t="s">
        <v>69</v>
      </c>
      <c r="I58" t="s">
        <v>207</v>
      </c>
      <c r="J58">
        <v>12</v>
      </c>
      <c r="K58">
        <v>12</v>
      </c>
      <c r="M58">
        <v>1</v>
      </c>
      <c r="N58">
        <f t="shared" si="0"/>
        <v>840</v>
      </c>
      <c r="P58">
        <v>90</v>
      </c>
      <c r="Q58">
        <v>90</v>
      </c>
      <c r="S58" s="43">
        <f t="shared" si="1"/>
        <v>180000</v>
      </c>
      <c r="T58" s="43">
        <v>169920</v>
      </c>
    </row>
    <row r="59" spans="5:20">
      <c r="E59" s="482">
        <v>46191</v>
      </c>
      <c r="F59" s="757" t="s">
        <v>61</v>
      </c>
      <c r="G59" s="757" t="s">
        <v>274</v>
      </c>
      <c r="I59" t="s">
        <v>207</v>
      </c>
      <c r="J59">
        <v>12</v>
      </c>
      <c r="K59">
        <v>12</v>
      </c>
      <c r="M59">
        <v>1</v>
      </c>
      <c r="N59">
        <f t="shared" si="0"/>
        <v>840</v>
      </c>
      <c r="P59">
        <v>144</v>
      </c>
      <c r="Q59">
        <v>144</v>
      </c>
      <c r="S59" s="43">
        <f t="shared" si="1"/>
        <v>288000</v>
      </c>
      <c r="T59" s="43">
        <v>271872</v>
      </c>
    </row>
    <row r="60" spans="5:20">
      <c r="E60" s="482">
        <v>46253</v>
      </c>
      <c r="F60" s="758" t="s">
        <v>277</v>
      </c>
      <c r="G60" s="758" t="s">
        <v>274</v>
      </c>
      <c r="I60" t="s">
        <v>207</v>
      </c>
      <c r="J60">
        <v>12</v>
      </c>
      <c r="K60">
        <v>12</v>
      </c>
      <c r="M60">
        <v>1</v>
      </c>
      <c r="N60">
        <f t="shared" si="0"/>
        <v>840</v>
      </c>
      <c r="P60">
        <v>78</v>
      </c>
      <c r="Q60">
        <v>78</v>
      </c>
      <c r="S60" s="43">
        <f t="shared" si="1"/>
        <v>156000</v>
      </c>
      <c r="T60" s="43">
        <v>147264</v>
      </c>
    </row>
    <row r="61" spans="5:20">
      <c r="E61" s="482">
        <v>46253</v>
      </c>
      <c r="F61" s="758" t="s">
        <v>41</v>
      </c>
      <c r="G61" s="758" t="s">
        <v>47</v>
      </c>
      <c r="I61" t="s">
        <v>207</v>
      </c>
      <c r="J61">
        <v>12</v>
      </c>
      <c r="K61">
        <v>12</v>
      </c>
      <c r="M61">
        <v>1</v>
      </c>
      <c r="N61">
        <f t="shared" si="0"/>
        <v>840</v>
      </c>
      <c r="P61">
        <v>252</v>
      </c>
      <c r="Q61">
        <v>252</v>
      </c>
      <c r="S61" s="43">
        <f t="shared" si="1"/>
        <v>504000</v>
      </c>
      <c r="T61" s="43">
        <v>475776</v>
      </c>
    </row>
    <row r="62" spans="5:20">
      <c r="E62" s="482">
        <v>46253</v>
      </c>
      <c r="F62" s="758" t="s">
        <v>61</v>
      </c>
      <c r="G62" s="758" t="s">
        <v>262</v>
      </c>
      <c r="I62" t="s">
        <v>207</v>
      </c>
      <c r="J62">
        <v>12</v>
      </c>
      <c r="K62">
        <v>12</v>
      </c>
      <c r="M62">
        <v>1</v>
      </c>
      <c r="N62">
        <f t="shared" si="0"/>
        <v>840</v>
      </c>
      <c r="P62">
        <v>22</v>
      </c>
      <c r="Q62">
        <v>22</v>
      </c>
      <c r="S62" s="43">
        <f t="shared" si="1"/>
        <v>44000</v>
      </c>
      <c r="T62" s="43">
        <v>41536</v>
      </c>
    </row>
    <row r="63" spans="5:20">
      <c r="E63" s="482">
        <v>46253</v>
      </c>
      <c r="F63" s="758" t="s">
        <v>30</v>
      </c>
      <c r="G63" s="758" t="s">
        <v>38</v>
      </c>
      <c r="I63" t="s">
        <v>207</v>
      </c>
      <c r="J63">
        <v>12</v>
      </c>
      <c r="K63">
        <v>12</v>
      </c>
      <c r="M63">
        <v>1</v>
      </c>
      <c r="N63">
        <f t="shared" si="0"/>
        <v>840</v>
      </c>
      <c r="P63">
        <v>66</v>
      </c>
      <c r="Q63">
        <v>66</v>
      </c>
      <c r="S63" s="43">
        <f t="shared" si="1"/>
        <v>132000</v>
      </c>
      <c r="T63" s="43">
        <v>124608</v>
      </c>
    </row>
    <row r="64" spans="5:20">
      <c r="E64" s="482">
        <v>46253</v>
      </c>
      <c r="F64" s="758" t="s">
        <v>30</v>
      </c>
      <c r="G64" s="758" t="s">
        <v>39</v>
      </c>
      <c r="I64" t="s">
        <v>207</v>
      </c>
      <c r="J64">
        <v>12</v>
      </c>
      <c r="K64">
        <v>12</v>
      </c>
      <c r="M64">
        <v>1</v>
      </c>
      <c r="N64">
        <f t="shared" si="0"/>
        <v>840</v>
      </c>
      <c r="P64">
        <v>64</v>
      </c>
      <c r="Q64">
        <v>64</v>
      </c>
      <c r="S64" s="43">
        <f t="shared" si="1"/>
        <v>128000</v>
      </c>
      <c r="T64" s="43">
        <v>120832</v>
      </c>
    </row>
    <row r="65" spans="5:20">
      <c r="E65" s="482">
        <v>46253</v>
      </c>
      <c r="F65" s="758" t="s">
        <v>30</v>
      </c>
      <c r="G65" s="758" t="s">
        <v>36</v>
      </c>
      <c r="I65" t="s">
        <v>207</v>
      </c>
      <c r="J65">
        <v>12</v>
      </c>
      <c r="K65">
        <v>12</v>
      </c>
      <c r="M65">
        <v>1</v>
      </c>
      <c r="N65">
        <f t="shared" si="0"/>
        <v>840</v>
      </c>
      <c r="P65">
        <v>127</v>
      </c>
      <c r="Q65">
        <v>127</v>
      </c>
      <c r="S65" s="43">
        <f t="shared" si="1"/>
        <v>254000</v>
      </c>
      <c r="T65" s="43">
        <v>238832</v>
      </c>
    </row>
    <row r="66" spans="5:20">
      <c r="E66" s="482">
        <v>46253</v>
      </c>
      <c r="F66" s="758" t="s">
        <v>61</v>
      </c>
      <c r="G66" s="758" t="s">
        <v>69</v>
      </c>
      <c r="I66" t="s">
        <v>207</v>
      </c>
      <c r="J66">
        <v>12</v>
      </c>
      <c r="K66">
        <v>12</v>
      </c>
      <c r="M66">
        <v>1</v>
      </c>
      <c r="N66">
        <f t="shared" si="0"/>
        <v>840</v>
      </c>
      <c r="P66">
        <v>60</v>
      </c>
      <c r="Q66">
        <v>60</v>
      </c>
      <c r="S66" s="43">
        <f t="shared" si="1"/>
        <v>120000</v>
      </c>
      <c r="T66" s="43">
        <v>113280</v>
      </c>
    </row>
    <row r="67" spans="5:20">
      <c r="E67" s="482">
        <v>46253</v>
      </c>
      <c r="F67" s="758" t="s">
        <v>41</v>
      </c>
      <c r="G67" s="758" t="s">
        <v>153</v>
      </c>
      <c r="I67" t="s">
        <v>207</v>
      </c>
      <c r="J67">
        <v>12</v>
      </c>
      <c r="K67">
        <v>12</v>
      </c>
      <c r="M67">
        <v>1</v>
      </c>
      <c r="N67">
        <f t="shared" si="0"/>
        <v>840</v>
      </c>
      <c r="P67">
        <v>120</v>
      </c>
      <c r="Q67">
        <v>120</v>
      </c>
      <c r="S67" s="43">
        <f t="shared" si="1"/>
        <v>240000</v>
      </c>
      <c r="T67" s="43">
        <v>226560</v>
      </c>
    </row>
    <row r="68" spans="5:20">
      <c r="E68" s="482">
        <v>46253</v>
      </c>
      <c r="F68" s="758" t="s">
        <v>41</v>
      </c>
      <c r="G68" s="758" t="s">
        <v>211</v>
      </c>
      <c r="I68" t="s">
        <v>207</v>
      </c>
      <c r="J68">
        <v>12</v>
      </c>
      <c r="K68">
        <v>12</v>
      </c>
      <c r="M68">
        <v>1</v>
      </c>
      <c r="N68">
        <f t="shared" si="0"/>
        <v>840</v>
      </c>
      <c r="P68">
        <v>42</v>
      </c>
      <c r="Q68">
        <v>42</v>
      </c>
      <c r="S68" s="43">
        <f t="shared" si="1"/>
        <v>84000</v>
      </c>
      <c r="T68" s="43">
        <v>79296</v>
      </c>
    </row>
    <row r="69" spans="5:20">
      <c r="E69" s="482">
        <v>46253</v>
      </c>
      <c r="F69" s="758" t="s">
        <v>41</v>
      </c>
      <c r="G69" s="758" t="s">
        <v>50</v>
      </c>
      <c r="I69" t="s">
        <v>207</v>
      </c>
      <c r="J69">
        <v>12</v>
      </c>
      <c r="K69">
        <v>12</v>
      </c>
      <c r="M69">
        <v>1</v>
      </c>
      <c r="N69">
        <f t="shared" si="0"/>
        <v>840</v>
      </c>
      <c r="P69">
        <v>69</v>
      </c>
      <c r="Q69">
        <v>69</v>
      </c>
      <c r="S69" s="43">
        <f t="shared" si="1"/>
        <v>138000</v>
      </c>
      <c r="T69" s="43">
        <v>130272</v>
      </c>
    </row>
    <row r="70" spans="5:20">
      <c r="E70" s="482">
        <v>46254</v>
      </c>
      <c r="F70" s="775" t="s">
        <v>30</v>
      </c>
      <c r="G70" t="s">
        <v>276</v>
      </c>
      <c r="I70" t="s">
        <v>207</v>
      </c>
      <c r="J70">
        <v>12</v>
      </c>
      <c r="K70">
        <v>12</v>
      </c>
      <c r="M70">
        <v>1</v>
      </c>
      <c r="N70">
        <f t="shared" si="0"/>
        <v>840</v>
      </c>
      <c r="P70">
        <v>66</v>
      </c>
      <c r="Q70">
        <v>66</v>
      </c>
      <c r="S70" s="43">
        <f t="shared" si="1"/>
        <v>132000</v>
      </c>
      <c r="T70" s="43">
        <v>124608</v>
      </c>
    </row>
    <row r="71" spans="5:20">
      <c r="E71" s="482">
        <v>46193</v>
      </c>
      <c r="F71" s="775" t="s">
        <v>30</v>
      </c>
      <c r="G71" s="775" t="s">
        <v>36</v>
      </c>
      <c r="I71" t="s">
        <v>207</v>
      </c>
      <c r="J71">
        <v>12</v>
      </c>
      <c r="K71">
        <v>12</v>
      </c>
      <c r="M71">
        <v>1</v>
      </c>
      <c r="N71">
        <f t="shared" ref="N71:N78" si="2">70*12</f>
        <v>840</v>
      </c>
      <c r="P71">
        <v>204</v>
      </c>
      <c r="Q71">
        <v>204</v>
      </c>
      <c r="S71" s="43">
        <f t="shared" si="1"/>
        <v>408000</v>
      </c>
      <c r="T71" s="43">
        <v>385152</v>
      </c>
    </row>
    <row r="72" spans="5:20">
      <c r="E72" s="482">
        <v>46132</v>
      </c>
      <c r="F72" s="775" t="s">
        <v>30</v>
      </c>
      <c r="G72" s="775" t="s">
        <v>38</v>
      </c>
      <c r="I72" t="s">
        <v>207</v>
      </c>
      <c r="J72">
        <v>12</v>
      </c>
      <c r="K72">
        <v>12</v>
      </c>
      <c r="M72">
        <v>1</v>
      </c>
      <c r="N72">
        <f t="shared" si="2"/>
        <v>840</v>
      </c>
      <c r="P72">
        <v>64</v>
      </c>
      <c r="Q72">
        <v>64</v>
      </c>
      <c r="S72" s="43">
        <f t="shared" si="1"/>
        <v>128000</v>
      </c>
      <c r="T72" s="43">
        <v>120832</v>
      </c>
    </row>
    <row r="73" spans="5:20">
      <c r="E73" s="482">
        <v>46073</v>
      </c>
      <c r="F73" s="775" t="s">
        <v>30</v>
      </c>
      <c r="G73" s="775" t="s">
        <v>39</v>
      </c>
      <c r="I73" t="s">
        <v>207</v>
      </c>
      <c r="J73">
        <v>12</v>
      </c>
      <c r="K73">
        <v>12</v>
      </c>
      <c r="M73">
        <v>1</v>
      </c>
      <c r="N73">
        <f t="shared" si="2"/>
        <v>840</v>
      </c>
      <c r="P73">
        <v>64</v>
      </c>
      <c r="Q73">
        <v>64</v>
      </c>
      <c r="S73" s="43">
        <f t="shared" si="1"/>
        <v>128000</v>
      </c>
      <c r="T73" s="43">
        <v>120832</v>
      </c>
    </row>
    <row r="74" spans="5:20">
      <c r="E74" s="482">
        <v>46011</v>
      </c>
      <c r="F74" s="775" t="s">
        <v>41</v>
      </c>
      <c r="G74" s="775" t="s">
        <v>153</v>
      </c>
      <c r="I74" t="s">
        <v>207</v>
      </c>
      <c r="J74">
        <v>12</v>
      </c>
      <c r="K74">
        <v>12</v>
      </c>
      <c r="M74">
        <v>1</v>
      </c>
      <c r="N74">
        <f t="shared" si="2"/>
        <v>840</v>
      </c>
      <c r="P74">
        <v>120</v>
      </c>
      <c r="Q74">
        <v>120</v>
      </c>
      <c r="S74" s="43">
        <f t="shared" si="1"/>
        <v>240000</v>
      </c>
      <c r="T74" s="43">
        <v>226560</v>
      </c>
    </row>
    <row r="75" spans="5:20">
      <c r="E75" s="482">
        <v>45950</v>
      </c>
      <c r="F75" s="775" t="s">
        <v>41</v>
      </c>
      <c r="G75" s="775" t="s">
        <v>47</v>
      </c>
      <c r="I75" t="s">
        <v>207</v>
      </c>
      <c r="J75">
        <v>12</v>
      </c>
      <c r="K75">
        <v>12</v>
      </c>
      <c r="M75">
        <v>1</v>
      </c>
      <c r="N75">
        <f t="shared" si="2"/>
        <v>840</v>
      </c>
      <c r="P75">
        <v>252</v>
      </c>
      <c r="Q75">
        <v>252</v>
      </c>
      <c r="S75" s="43">
        <f t="shared" si="1"/>
        <v>504000</v>
      </c>
      <c r="T75" s="43">
        <v>475776</v>
      </c>
    </row>
    <row r="76" spans="5:20">
      <c r="E76" s="482">
        <v>45889</v>
      </c>
      <c r="F76" s="775" t="s">
        <v>61</v>
      </c>
      <c r="G76" s="775" t="s">
        <v>262</v>
      </c>
      <c r="I76" t="s">
        <v>207</v>
      </c>
      <c r="J76">
        <v>12</v>
      </c>
      <c r="K76">
        <v>12</v>
      </c>
      <c r="M76">
        <v>1</v>
      </c>
      <c r="N76">
        <f t="shared" si="2"/>
        <v>840</v>
      </c>
      <c r="P76">
        <v>31</v>
      </c>
      <c r="Q76">
        <v>31</v>
      </c>
      <c r="S76" s="43">
        <f t="shared" si="1"/>
        <v>62000</v>
      </c>
      <c r="T76" s="43">
        <v>57879</v>
      </c>
    </row>
    <row r="77" spans="5:20">
      <c r="E77" s="482">
        <v>45828</v>
      </c>
      <c r="F77" s="775" t="s">
        <v>61</v>
      </c>
      <c r="G77" s="775" t="s">
        <v>69</v>
      </c>
      <c r="I77" t="s">
        <v>207</v>
      </c>
      <c r="J77">
        <v>12</v>
      </c>
      <c r="K77">
        <v>12</v>
      </c>
      <c r="M77">
        <v>1</v>
      </c>
      <c r="N77">
        <f t="shared" si="2"/>
        <v>840</v>
      </c>
      <c r="P77">
        <v>72</v>
      </c>
      <c r="Q77">
        <v>72</v>
      </c>
      <c r="S77" s="43">
        <f t="shared" si="1"/>
        <v>144000</v>
      </c>
      <c r="T77" s="43">
        <v>135936</v>
      </c>
    </row>
    <row r="78" spans="5:20">
      <c r="E78" s="482">
        <v>45767</v>
      </c>
      <c r="F78" s="775" t="s">
        <v>61</v>
      </c>
      <c r="G78" s="775" t="s">
        <v>274</v>
      </c>
      <c r="I78" t="s">
        <v>207</v>
      </c>
      <c r="J78">
        <v>12</v>
      </c>
      <c r="K78">
        <v>12</v>
      </c>
      <c r="M78">
        <v>1</v>
      </c>
      <c r="N78">
        <f t="shared" si="2"/>
        <v>840</v>
      </c>
      <c r="P78">
        <v>72</v>
      </c>
      <c r="Q78">
        <v>72</v>
      </c>
      <c r="S78" s="43">
        <f t="shared" si="1"/>
        <v>144000</v>
      </c>
      <c r="T78" s="43">
        <v>135936</v>
      </c>
    </row>
    <row r="79" spans="5:20">
      <c r="E79" s="482">
        <v>46133</v>
      </c>
      <c r="G79" t="s">
        <v>276</v>
      </c>
      <c r="P79">
        <v>62</v>
      </c>
      <c r="Q79">
        <v>62</v>
      </c>
      <c r="S79" s="43">
        <f t="shared" si="1"/>
        <v>124000</v>
      </c>
      <c r="T79" s="43">
        <v>117641.28</v>
      </c>
    </row>
    <row r="80" spans="5:20">
      <c r="E80" s="482">
        <v>46133</v>
      </c>
      <c r="G80" s="775" t="s">
        <v>36</v>
      </c>
      <c r="P80">
        <v>60</v>
      </c>
      <c r="Q80">
        <v>60</v>
      </c>
      <c r="S80" s="43">
        <f t="shared" ref="S80:S97" si="3">Q80*2000</f>
        <v>120000</v>
      </c>
      <c r="T80" s="43">
        <v>113280</v>
      </c>
    </row>
    <row r="81" spans="5:20">
      <c r="E81" s="482">
        <v>46133</v>
      </c>
      <c r="G81" s="775" t="s">
        <v>38</v>
      </c>
      <c r="P81">
        <v>72</v>
      </c>
      <c r="Q81">
        <v>72</v>
      </c>
      <c r="S81" s="43">
        <f t="shared" si="3"/>
        <v>144000</v>
      </c>
      <c r="T81" s="43">
        <v>135936</v>
      </c>
    </row>
    <row r="82" spans="5:20">
      <c r="E82" s="482">
        <v>46133</v>
      </c>
      <c r="G82" s="775" t="s">
        <v>39</v>
      </c>
      <c r="P82">
        <v>48</v>
      </c>
      <c r="Q82">
        <v>48</v>
      </c>
      <c r="S82" s="43">
        <f t="shared" si="3"/>
        <v>96000</v>
      </c>
      <c r="T82" s="43">
        <v>90624</v>
      </c>
    </row>
    <row r="83" spans="5:20">
      <c r="E83" s="482">
        <v>46133</v>
      </c>
      <c r="G83" s="776" t="s">
        <v>153</v>
      </c>
      <c r="P83">
        <v>120</v>
      </c>
      <c r="Q83">
        <v>120</v>
      </c>
      <c r="S83" s="43">
        <f t="shared" si="3"/>
        <v>240000</v>
      </c>
      <c r="T83" s="43">
        <v>226560</v>
      </c>
    </row>
    <row r="84" spans="5:20">
      <c r="E84" s="482">
        <v>46133</v>
      </c>
      <c r="G84" s="776" t="s">
        <v>211</v>
      </c>
      <c r="P84">
        <v>204</v>
      </c>
      <c r="Q84">
        <v>204</v>
      </c>
      <c r="S84" s="43">
        <f t="shared" si="3"/>
        <v>408000</v>
      </c>
      <c r="T84" s="43">
        <v>385152</v>
      </c>
    </row>
    <row r="85" spans="5:20">
      <c r="E85" s="482">
        <v>46133</v>
      </c>
      <c r="G85" s="776" t="s">
        <v>50</v>
      </c>
      <c r="P85">
        <v>180</v>
      </c>
      <c r="Q85">
        <v>180</v>
      </c>
      <c r="S85" s="43">
        <f t="shared" si="3"/>
        <v>360000</v>
      </c>
      <c r="T85" s="43">
        <v>339840</v>
      </c>
    </row>
    <row r="86" spans="5:20">
      <c r="E86" s="482">
        <v>46133</v>
      </c>
      <c r="G86" s="776" t="s">
        <v>69</v>
      </c>
      <c r="P86">
        <v>120</v>
      </c>
      <c r="Q86">
        <v>120</v>
      </c>
      <c r="S86" s="43">
        <f t="shared" si="3"/>
        <v>240000</v>
      </c>
      <c r="T86" s="43">
        <v>226560</v>
      </c>
    </row>
    <row r="87" spans="5:20">
      <c r="E87" s="482">
        <v>46133</v>
      </c>
      <c r="G87" s="776" t="s">
        <v>274</v>
      </c>
      <c r="P87">
        <v>66</v>
      </c>
      <c r="Q87">
        <v>66</v>
      </c>
      <c r="S87" s="43">
        <f t="shared" si="3"/>
        <v>132000</v>
      </c>
      <c r="T87" s="43">
        <v>124608</v>
      </c>
    </row>
    <row r="88" spans="5:20">
      <c r="E88" s="482">
        <v>46134</v>
      </c>
      <c r="G88" t="s">
        <v>276</v>
      </c>
      <c r="P88">
        <v>60</v>
      </c>
      <c r="Q88">
        <v>60</v>
      </c>
      <c r="S88" s="43">
        <f t="shared" si="3"/>
        <v>120000</v>
      </c>
      <c r="T88" s="43">
        <v>113280</v>
      </c>
    </row>
    <row r="89" spans="5:20">
      <c r="E89" s="482">
        <v>46134</v>
      </c>
      <c r="G89" t="s">
        <v>36</v>
      </c>
      <c r="P89">
        <v>30</v>
      </c>
      <c r="Q89">
        <v>30</v>
      </c>
      <c r="S89" s="43">
        <f t="shared" si="3"/>
        <v>60000</v>
      </c>
      <c r="T89" s="43">
        <v>56640</v>
      </c>
    </row>
    <row r="90" spans="5:20">
      <c r="E90" s="482">
        <v>46134</v>
      </c>
      <c r="G90" t="s">
        <v>38</v>
      </c>
      <c r="P90">
        <v>60</v>
      </c>
      <c r="Q90">
        <v>60</v>
      </c>
      <c r="S90" s="43">
        <f t="shared" si="3"/>
        <v>120000</v>
      </c>
      <c r="T90" s="43">
        <v>113280</v>
      </c>
    </row>
    <row r="91" spans="5:20">
      <c r="E91" s="482">
        <v>46134</v>
      </c>
      <c r="G91" t="s">
        <v>39</v>
      </c>
      <c r="P91">
        <v>30</v>
      </c>
      <c r="Q91">
        <v>30</v>
      </c>
      <c r="S91" s="43">
        <f t="shared" si="3"/>
        <v>60000</v>
      </c>
      <c r="T91" s="43">
        <v>56640</v>
      </c>
    </row>
    <row r="92" spans="5:20">
      <c r="E92" s="482">
        <v>46134</v>
      </c>
      <c r="G92" t="s">
        <v>153</v>
      </c>
      <c r="P92">
        <v>132</v>
      </c>
      <c r="Q92">
        <v>132</v>
      </c>
      <c r="S92" s="43">
        <f t="shared" si="3"/>
        <v>264000</v>
      </c>
      <c r="T92" s="43">
        <v>249216</v>
      </c>
    </row>
    <row r="93" spans="5:20">
      <c r="E93" s="482">
        <v>46134</v>
      </c>
      <c r="G93" t="s">
        <v>211</v>
      </c>
      <c r="P93">
        <v>222</v>
      </c>
      <c r="Q93">
        <v>222</v>
      </c>
      <c r="S93" s="43">
        <f t="shared" si="3"/>
        <v>444000</v>
      </c>
      <c r="T93" s="43">
        <v>419136</v>
      </c>
    </row>
    <row r="94" spans="5:20">
      <c r="E94" s="482">
        <v>46134</v>
      </c>
      <c r="G94" t="s">
        <v>50</v>
      </c>
      <c r="P94">
        <v>171</v>
      </c>
      <c r="Q94">
        <v>171</v>
      </c>
      <c r="S94" s="43">
        <f t="shared" si="3"/>
        <v>342000</v>
      </c>
      <c r="T94" s="43">
        <v>322848</v>
      </c>
    </row>
    <row r="95" spans="5:20">
      <c r="E95" s="482">
        <v>46134</v>
      </c>
      <c r="G95" t="s">
        <v>193</v>
      </c>
      <c r="P95">
        <v>240</v>
      </c>
      <c r="Q95">
        <v>240</v>
      </c>
      <c r="S95" s="43">
        <f t="shared" si="3"/>
        <v>480000</v>
      </c>
      <c r="T95" s="43">
        <v>453120</v>
      </c>
    </row>
    <row r="96" spans="5:20">
      <c r="E96" s="482">
        <v>46134</v>
      </c>
      <c r="G96" t="s">
        <v>69</v>
      </c>
      <c r="P96">
        <v>180</v>
      </c>
      <c r="Q96">
        <v>180</v>
      </c>
      <c r="S96" s="43">
        <f t="shared" si="3"/>
        <v>360000</v>
      </c>
      <c r="T96" s="43">
        <v>339840</v>
      </c>
    </row>
    <row r="97" spans="5:20">
      <c r="E97" s="482">
        <v>46134</v>
      </c>
      <c r="G97" t="s">
        <v>274</v>
      </c>
      <c r="P97">
        <v>60</v>
      </c>
      <c r="Q97">
        <v>60</v>
      </c>
      <c r="S97" s="43">
        <f t="shared" si="3"/>
        <v>120000</v>
      </c>
      <c r="T97" s="43">
        <v>113280</v>
      </c>
    </row>
  </sheetData>
  <autoFilter ref="B3:Y47" xr:uid="{87996044-98CA-4D61-9AB3-C2EE2899AA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Detail1</vt:lpstr>
      <vt:lpstr>Detail2</vt:lpstr>
      <vt:lpstr>Sheet6</vt:lpstr>
      <vt:lpstr>Sheet4</vt:lpstr>
      <vt:lpstr>ATD &gt;</vt:lpstr>
      <vt:lpstr>REGIONAL PTD</vt:lpstr>
      <vt:lpstr>NEW ATD PER TEAM</vt:lpstr>
      <vt:lpstr>Overview Dashboard</vt:lpstr>
      <vt:lpstr>Sheet8</vt:lpstr>
      <vt:lpstr>ATD Daily&gt; (2)</vt:lpstr>
      <vt:lpstr>Table</vt:lpstr>
      <vt:lpstr>Total</vt:lpstr>
      <vt:lpstr>Total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Agboola Rotimi Babalola</dc:creator>
  <cp:lastModifiedBy>3DIM Operation</cp:lastModifiedBy>
  <dcterms:created xsi:type="dcterms:W3CDTF">2026-08-13T09:57:04Z</dcterms:created>
  <dcterms:modified xsi:type="dcterms:W3CDTF">2026-09-30T10:24:14Z</dcterms:modified>
</cp:coreProperties>
</file>